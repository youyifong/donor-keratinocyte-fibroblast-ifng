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Zhu\donor-keratinocyte-fibroblast-ifng\data\"/>
    </mc:Choice>
  </mc:AlternateContent>
  <xr:revisionPtr revIDLastSave="0" documentId="13_ncr:1_{96347FBA-FC12-4940-99C7-E088828E6853}" xr6:coauthVersionLast="47" xr6:coauthVersionMax="47" xr10:uidLastSave="{00000000-0000-0000-0000-000000000000}"/>
  <bookViews>
    <workbookView xWindow="-110" yWindow="-110" windowWidth="25820" windowHeight="14620" activeTab="4" xr2:uid="{6BD9ED52-6A02-4E5F-A7A8-2BB9905CD939}"/>
  </bookViews>
  <sheets>
    <sheet name="Figure 4C" sheetId="7" r:id="rId1"/>
    <sheet name="Figure 4D" sheetId="8" r:id="rId2"/>
    <sheet name="Figure 6A" sheetId="10" r:id="rId3"/>
    <sheet name="Figure 6B" sheetId="11" r:id="rId4"/>
    <sheet name="Figure 6C" sheetId="16" r:id="rId5"/>
    <sheet name="Figure 7A" sheetId="12" r:id="rId6"/>
    <sheet name="Figure 7B" sheetId="13" r:id="rId7"/>
    <sheet name="Figure 8" sheetId="1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8" i="15" l="1"/>
  <c r="AD28" i="15"/>
  <c r="AC28" i="15"/>
  <c r="AB28" i="15"/>
  <c r="AA28" i="15"/>
  <c r="Z28" i="15"/>
  <c r="Y28" i="15"/>
  <c r="X28" i="15"/>
  <c r="W28" i="15"/>
  <c r="V28" i="15"/>
  <c r="U28" i="15"/>
  <c r="T28" i="15"/>
  <c r="S28" i="15"/>
  <c r="R28" i="15"/>
  <c r="Q28" i="15"/>
  <c r="P28" i="15"/>
  <c r="O28" i="15"/>
  <c r="N28" i="15"/>
  <c r="M28" i="15"/>
  <c r="L28" i="15"/>
  <c r="K28" i="15"/>
  <c r="J28" i="15"/>
  <c r="I28" i="15"/>
  <c r="H28" i="15"/>
  <c r="G28" i="15"/>
  <c r="F28" i="15"/>
  <c r="E28" i="15"/>
  <c r="D28" i="15"/>
  <c r="C28" i="15"/>
  <c r="B28" i="15"/>
  <c r="AE26" i="15"/>
  <c r="AD26" i="15"/>
  <c r="AC26" i="15"/>
  <c r="AB26" i="15"/>
  <c r="AA26" i="15"/>
  <c r="Z26" i="15"/>
  <c r="Y26" i="15"/>
  <c r="X26" i="15"/>
  <c r="W26" i="15"/>
  <c r="V26" i="15"/>
  <c r="U26" i="15"/>
  <c r="T26" i="15"/>
  <c r="S26" i="15"/>
  <c r="R26" i="15"/>
  <c r="Q26" i="15"/>
  <c r="P26" i="15"/>
  <c r="O26" i="15"/>
  <c r="N26" i="15"/>
  <c r="M26" i="15"/>
  <c r="L26" i="15"/>
  <c r="K26" i="15"/>
  <c r="J26" i="15"/>
  <c r="I26" i="15"/>
  <c r="H26" i="15"/>
  <c r="G26" i="15"/>
  <c r="F26" i="15"/>
  <c r="E26" i="15"/>
  <c r="D26" i="15"/>
  <c r="C26" i="15"/>
  <c r="B26" i="15"/>
  <c r="AE22" i="15"/>
  <c r="AD22" i="15"/>
  <c r="AC22" i="15"/>
  <c r="AB22" i="15"/>
  <c r="AA22" i="15"/>
  <c r="Z22" i="15"/>
  <c r="Y22" i="15"/>
  <c r="X22" i="15"/>
  <c r="W22" i="15"/>
  <c r="V22" i="15"/>
  <c r="U22" i="15"/>
  <c r="T22" i="15"/>
  <c r="R22" i="15"/>
  <c r="Q22" i="15"/>
  <c r="N22" i="15"/>
  <c r="M22" i="15"/>
  <c r="L22" i="15"/>
  <c r="I22" i="15"/>
  <c r="H22" i="15"/>
  <c r="G22" i="15"/>
  <c r="D22" i="15"/>
  <c r="C22" i="15"/>
  <c r="B22" i="15"/>
  <c r="AE20" i="15"/>
  <c r="AD20" i="15"/>
  <c r="AC20" i="15"/>
  <c r="AB20" i="15"/>
  <c r="AA20" i="15"/>
  <c r="Z20" i="15"/>
  <c r="Y20" i="15"/>
  <c r="X20" i="15"/>
  <c r="W20" i="15"/>
  <c r="V20" i="15"/>
  <c r="U20" i="15"/>
  <c r="T20" i="15"/>
  <c r="R20" i="15"/>
  <c r="Q20" i="15"/>
  <c r="N20" i="15"/>
  <c r="M20" i="15"/>
  <c r="L20" i="15"/>
  <c r="I20" i="15"/>
  <c r="H20" i="15"/>
  <c r="G20" i="15"/>
  <c r="D20" i="15"/>
  <c r="C20" i="15"/>
  <c r="B20" i="15"/>
  <c r="AE21" i="15"/>
  <c r="AD21" i="15"/>
  <c r="AC21" i="15"/>
  <c r="AB21" i="15"/>
  <c r="AA21" i="15"/>
  <c r="Z21" i="15"/>
  <c r="Y21" i="15"/>
  <c r="X21" i="15"/>
  <c r="W21" i="15"/>
  <c r="V21" i="15"/>
  <c r="U21" i="15"/>
  <c r="T21" i="15"/>
  <c r="S21" i="15"/>
  <c r="R21" i="15"/>
  <c r="Q21" i="15"/>
  <c r="P21" i="15"/>
  <c r="O21" i="15"/>
  <c r="N21" i="15"/>
  <c r="M21" i="15"/>
  <c r="L21" i="15"/>
  <c r="K21" i="15"/>
  <c r="J21" i="15"/>
  <c r="I21" i="15"/>
  <c r="H21" i="15"/>
  <c r="G21" i="15"/>
  <c r="F21" i="15"/>
  <c r="E21" i="15"/>
  <c r="D21" i="15"/>
  <c r="C21" i="15"/>
  <c r="B21" i="15"/>
  <c r="AE19" i="15"/>
  <c r="AD19" i="15"/>
  <c r="AC19" i="15"/>
  <c r="AB19" i="15"/>
  <c r="AA19" i="15"/>
  <c r="Z19" i="15"/>
  <c r="Y19" i="15"/>
  <c r="X19" i="15"/>
  <c r="W19" i="15"/>
  <c r="V19" i="15"/>
  <c r="U19" i="15"/>
  <c r="T19" i="15"/>
  <c r="S19" i="15"/>
  <c r="R19" i="15"/>
  <c r="Q19" i="15"/>
  <c r="P19" i="15"/>
  <c r="O19" i="15"/>
  <c r="N19" i="15"/>
  <c r="M19" i="15"/>
  <c r="L19" i="15"/>
  <c r="K19" i="15"/>
  <c r="J19" i="15"/>
  <c r="I19" i="15"/>
  <c r="H19" i="15"/>
  <c r="G19" i="15"/>
  <c r="F19" i="15"/>
  <c r="E19" i="15"/>
  <c r="D19" i="15"/>
  <c r="C19" i="15"/>
  <c r="B19" i="15"/>
  <c r="B12" i="15"/>
  <c r="C12"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AC12" i="15"/>
  <c r="AD12" i="15"/>
  <c r="AE12" i="15"/>
  <c r="B13" i="15"/>
  <c r="C13" i="15"/>
  <c r="D13" i="15"/>
  <c r="E13" i="15"/>
  <c r="F13" i="15"/>
  <c r="G13" i="15"/>
  <c r="H13" i="15"/>
  <c r="I13" i="15"/>
  <c r="J13" i="15"/>
  <c r="M13" i="15"/>
  <c r="O13" i="15"/>
  <c r="P13" i="15"/>
  <c r="Q13" i="15"/>
  <c r="R13" i="15"/>
  <c r="S13" i="15"/>
  <c r="T13" i="15"/>
  <c r="U13" i="15"/>
  <c r="V13" i="15"/>
  <c r="W13" i="15"/>
  <c r="X13" i="15"/>
  <c r="Y13" i="15"/>
  <c r="Z13" i="15"/>
  <c r="AA13" i="15"/>
  <c r="AB13" i="15"/>
  <c r="AC13" i="15"/>
  <c r="AD13" i="15"/>
  <c r="AE13" i="15"/>
  <c r="AE15" i="15"/>
  <c r="AD15" i="15"/>
  <c r="AC15" i="15"/>
  <c r="AB15" i="15"/>
  <c r="AA15" i="15"/>
  <c r="Z15" i="15"/>
  <c r="Y15" i="15"/>
  <c r="X15" i="15"/>
  <c r="W15" i="15"/>
  <c r="V15" i="15"/>
  <c r="U15" i="15"/>
  <c r="T15" i="15"/>
  <c r="S15" i="15"/>
  <c r="R15" i="15"/>
  <c r="Q15" i="15"/>
  <c r="P15" i="15"/>
  <c r="O15" i="15"/>
  <c r="N15" i="15"/>
  <c r="M15" i="15"/>
  <c r="L15" i="15"/>
  <c r="J15" i="15"/>
  <c r="I15" i="15"/>
  <c r="H15" i="15"/>
  <c r="G15" i="15"/>
  <c r="F15" i="15"/>
  <c r="E15" i="15"/>
  <c r="D15" i="15"/>
  <c r="C15" i="15"/>
  <c r="B15" i="15"/>
  <c r="AE14" i="15"/>
  <c r="AD14" i="15"/>
  <c r="AC14" i="15"/>
  <c r="AB14" i="15"/>
  <c r="AA14" i="15"/>
  <c r="Z14" i="15"/>
  <c r="Y14" i="15"/>
  <c r="X14" i="15"/>
  <c r="W14" i="15"/>
  <c r="V14" i="15"/>
  <c r="U14" i="15"/>
  <c r="T14" i="15"/>
  <c r="S14" i="15"/>
  <c r="R14" i="15"/>
  <c r="Q14" i="15"/>
  <c r="P14" i="15"/>
  <c r="O14" i="15"/>
  <c r="N14" i="15"/>
  <c r="M14" i="15"/>
  <c r="L14" i="15"/>
  <c r="K14" i="15"/>
  <c r="J14" i="15"/>
  <c r="I14" i="15"/>
  <c r="H14" i="15"/>
  <c r="G14" i="15"/>
  <c r="F14" i="15"/>
  <c r="E14" i="15"/>
  <c r="D14" i="15"/>
  <c r="C14" i="15"/>
  <c r="B14" i="15"/>
  <c r="B6" i="15"/>
  <c r="C6" i="15"/>
  <c r="D6" i="15"/>
  <c r="E6" i="15"/>
  <c r="F6" i="15"/>
  <c r="G6" i="15"/>
  <c r="H6" i="15"/>
  <c r="I6" i="15"/>
  <c r="J6" i="15"/>
  <c r="K6" i="15"/>
  <c r="L6" i="15"/>
  <c r="M6" i="15"/>
  <c r="N6" i="15"/>
  <c r="O6" i="15"/>
  <c r="P6" i="15"/>
  <c r="Q6" i="15"/>
  <c r="R6" i="15"/>
  <c r="S6" i="15"/>
  <c r="T6" i="15"/>
  <c r="U6" i="15"/>
  <c r="V6" i="15"/>
  <c r="W6" i="15"/>
  <c r="X6" i="15"/>
  <c r="Y6" i="15"/>
  <c r="Z6" i="15"/>
  <c r="AA6" i="15"/>
  <c r="AB6" i="15"/>
  <c r="AC6" i="15"/>
  <c r="AD6" i="15"/>
  <c r="AE6" i="15"/>
  <c r="B7" i="15"/>
  <c r="C7" i="15"/>
  <c r="D7" i="15"/>
  <c r="E7" i="15"/>
  <c r="F7" i="15"/>
  <c r="G7" i="15"/>
  <c r="H7" i="15"/>
  <c r="I7" i="15"/>
  <c r="J7" i="15"/>
  <c r="K7" i="15"/>
  <c r="L7" i="15"/>
  <c r="M7" i="15"/>
  <c r="N7" i="15"/>
  <c r="O7" i="15"/>
  <c r="P7" i="15"/>
  <c r="Q7" i="15"/>
  <c r="R7" i="15"/>
  <c r="S7" i="15"/>
  <c r="T7" i="15"/>
  <c r="U7" i="15"/>
  <c r="V7" i="15"/>
  <c r="W7" i="15"/>
  <c r="X7" i="15"/>
  <c r="Y7" i="15"/>
  <c r="Z7" i="15"/>
  <c r="AA7" i="15"/>
  <c r="AB7" i="15"/>
  <c r="AC7" i="15"/>
  <c r="AD7" i="15"/>
  <c r="AE7" i="15"/>
  <c r="B8" i="15"/>
  <c r="C8" i="15"/>
  <c r="D8" i="15"/>
  <c r="E8" i="15"/>
  <c r="F8" i="15"/>
  <c r="G8" i="15"/>
  <c r="H8" i="15"/>
  <c r="I8" i="15"/>
  <c r="J8" i="15"/>
  <c r="K8" i="15"/>
  <c r="L8" i="15"/>
  <c r="M8" i="15"/>
  <c r="N8" i="15"/>
  <c r="O8" i="15"/>
  <c r="P8" i="15"/>
  <c r="Q8" i="15"/>
  <c r="R8" i="15"/>
  <c r="S8" i="15"/>
  <c r="T8" i="15"/>
  <c r="U8" i="15"/>
  <c r="V8" i="15"/>
  <c r="W8" i="15"/>
  <c r="X8" i="15"/>
  <c r="Y8" i="15"/>
  <c r="Z8" i="15"/>
  <c r="AA8" i="15"/>
  <c r="AB8" i="15"/>
  <c r="AC8" i="15"/>
  <c r="AD8" i="15"/>
  <c r="AE8" i="15"/>
  <c r="C5" i="15"/>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B5" i="15"/>
  <c r="AI21" i="12"/>
  <c r="AH21" i="12"/>
  <c r="AK20" i="12"/>
  <c r="AJ20" i="12"/>
  <c r="AI20" i="12"/>
  <c r="AH20" i="12"/>
  <c r="AI13" i="12"/>
  <c r="AH13" i="12"/>
  <c r="AK12" i="12"/>
  <c r="AJ12" i="12"/>
  <c r="AI12" i="12"/>
  <c r="AH12" i="12"/>
  <c r="AI5" i="12"/>
  <c r="AH5" i="12"/>
  <c r="AK4" i="12"/>
  <c r="AJ4" i="12"/>
  <c r="AI4" i="12"/>
  <c r="AH4" i="12"/>
</calcChain>
</file>

<file path=xl/sharedStrings.xml><?xml version="1.0" encoding="utf-8"?>
<sst xmlns="http://schemas.openxmlformats.org/spreadsheetml/2006/main" count="424" uniqueCount="47">
  <si>
    <t>CXCL10</t>
  </si>
  <si>
    <t>CCL5</t>
  </si>
  <si>
    <t>IL15</t>
  </si>
  <si>
    <t>IL12A</t>
  </si>
  <si>
    <t>IFI16</t>
  </si>
  <si>
    <t>Donor 1</t>
  </si>
  <si>
    <t>Donor 2</t>
  </si>
  <si>
    <t>Donor 3</t>
  </si>
  <si>
    <t>Donor 4</t>
  </si>
  <si>
    <t>Donor 5</t>
  </si>
  <si>
    <t>Donor 6</t>
  </si>
  <si>
    <t>Donor 7</t>
  </si>
  <si>
    <t>Donor 8</t>
  </si>
  <si>
    <t>Donor 9</t>
  </si>
  <si>
    <t>Donor 10</t>
  </si>
  <si>
    <t>Dose</t>
  </si>
  <si>
    <t>Mock</t>
  </si>
  <si>
    <t>Severe</t>
  </si>
  <si>
    <t>IC50</t>
  </si>
  <si>
    <t>Asymptomatic</t>
  </si>
  <si>
    <t>Goal: Compare the IC50 value between asymptomatic and severe donors. Data represents three independent biological replicates for each donor</t>
  </si>
  <si>
    <t>IFNGR1</t>
  </si>
  <si>
    <t>STAT1</t>
  </si>
  <si>
    <t>Goal: Compare the expression levels of both genes between asymptomatic and severe donors. Data represents three independent biological replicates for each donor</t>
  </si>
  <si>
    <t>Goal: Determine if there is a statistically significant difference between asymptomatic and severe donors at each dose (0, 0.1, 1, 10, 100). Data represents three independent biological replicates for all 10 donors.</t>
  </si>
  <si>
    <t>CXCL9</t>
  </si>
  <si>
    <t>CXCL11</t>
  </si>
  <si>
    <t>100U</t>
  </si>
  <si>
    <t>Virus + 100U</t>
  </si>
  <si>
    <t>Goal: Determine if there is a statistically significant difference between asymptomatic and severe donors at each dose (0, 0.1, 1, 10, 100) for each gene (CXCL10, CCL5, IL15, IL12, IFI16). Data represents three independent biological replicates for all 10 donors.</t>
  </si>
  <si>
    <t>Goal: Determine if there is a statistically significant difference between the expression level of each gene (CXCL10, CCL5, IL15, IL12, IFI16) at each dose compared to the previous dose. For clarity, this is comparing 0.0 to 0.1, 0.1 to 1, 1 to 10, and 10 to 100. Data represents three independent biological replicates from 10 different donors</t>
  </si>
  <si>
    <t>Mean</t>
  </si>
  <si>
    <t>Geomean</t>
  </si>
  <si>
    <t>Min</t>
  </si>
  <si>
    <t>Max</t>
  </si>
  <si>
    <t>Values &lt; Average</t>
  </si>
  <si>
    <t>Virus</t>
  </si>
  <si>
    <t>CXCL9 4HPT</t>
  </si>
  <si>
    <t>CXCL9 12HPT</t>
  </si>
  <si>
    <t>CXCL10 4HPT</t>
  </si>
  <si>
    <t>CXCL10 12HPT</t>
  </si>
  <si>
    <t>Goal: Determine if there is a difference in pg/mL of protein between asymptomatic and severe in each treatment group (mock, 100U, virus, 100U+virus)</t>
  </si>
  <si>
    <t>Goal: Determine if there is a difference in pg/mL of protein between Mock and each treatment (100U, Virus, 100U+Virus) within each group (asymptomatic, severe). For example, if there is a statistical difference between asymptomatic mock vs asymptomatic 100U</t>
  </si>
  <si>
    <t>24HPT</t>
  </si>
  <si>
    <t>4HPT</t>
  </si>
  <si>
    <t>Time</t>
  </si>
  <si>
    <t>Goal: Determine if there is a statistically significant difference between the expression level of each gene (CXCL10, CCL5, IL15, IL12, IFI16) at each timepoint between asymptomatic and severe donors. For example, this is comparing asymptomatic donors at 4HPT versus severe donors at 4HPT. Data represents three independent biological replicates from 10 different donors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</si>
</sst>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name val="Arial"/>
    </font>
  </fonts>
  <fills count="11">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82">
    <xf numFmtId="0" fontId="0" fillId="0" borderId="0" xfId="0"/>
    <xf numFmtId="0" fontId="1" fillId="0" borderId="0" xfId="0" applyFont="1" applyAlignment="1">
      <alignment horizontal="center"/>
    </xf>
    <xf numFmtId="0" fontId="1" fillId="0" borderId="1" xfId="0" applyFont="1" applyBorder="1"/>
    <xf numFmtId="0" fontId="1" fillId="0" borderId="7" xfId="0" applyFont="1" applyBorder="1"/>
    <xf numFmtId="0" fontId="1" fillId="0" borderId="9" xfId="0" applyFont="1" applyBorder="1"/>
    <xf numFmtId="0" fontId="1" fillId="0" borderId="10" xfId="0" applyFont="1" applyBorder="1"/>
    <xf numFmtId="0" fontId="1" fillId="0" borderId="6" xfId="0" applyFont="1" applyBorder="1"/>
    <xf numFmtId="0" fontId="1" fillId="0" borderId="8" xfId="0" applyFont="1" applyBorder="1"/>
    <xf numFmtId="0" fontId="0" fillId="3" borderId="17" xfId="0" applyFill="1" applyBorder="1"/>
    <xf numFmtId="0" fontId="0" fillId="3" borderId="18" xfId="0" applyFill="1" applyBorder="1"/>
    <xf numFmtId="0" fontId="0" fillId="3" borderId="19" xfId="0" applyFill="1" applyBorder="1"/>
    <xf numFmtId="0" fontId="1" fillId="0" borderId="0" xfId="0" applyFont="1"/>
    <xf numFmtId="0" fontId="1" fillId="3" borderId="12" xfId="0" applyFont="1" applyFill="1" applyBorder="1" applyAlignment="1">
      <alignment horizontal="left"/>
    </xf>
    <xf numFmtId="2" fontId="1" fillId="0" borderId="6" xfId="0" applyNumberFormat="1" applyFont="1" applyBorder="1"/>
    <xf numFmtId="2" fontId="1" fillId="0" borderId="1" xfId="0" applyNumberFormat="1" applyFont="1" applyBorder="1"/>
    <xf numFmtId="2" fontId="1" fillId="0" borderId="7" xfId="0" applyNumberFormat="1" applyFont="1" applyBorder="1"/>
    <xf numFmtId="2" fontId="1" fillId="0" borderId="8" xfId="0" applyNumberFormat="1" applyFont="1" applyBorder="1"/>
    <xf numFmtId="2" fontId="1" fillId="0" borderId="9" xfId="0" applyNumberFormat="1" applyFont="1" applyBorder="1"/>
    <xf numFmtId="2" fontId="1" fillId="0" borderId="10" xfId="0" applyNumberFormat="1" applyFont="1" applyBorder="1"/>
    <xf numFmtId="0" fontId="0" fillId="3" borderId="2" xfId="0" applyFill="1" applyBorder="1"/>
    <xf numFmtId="0" fontId="1" fillId="3" borderId="26" xfId="0" applyFont="1" applyFill="1" applyBorder="1" applyAlignment="1">
      <alignment horizontal="left"/>
    </xf>
    <xf numFmtId="2" fontId="1" fillId="0" borderId="31" xfId="0" applyNumberFormat="1" applyFont="1" applyBorder="1"/>
    <xf numFmtId="2" fontId="1" fillId="0" borderId="29" xfId="0" applyNumberFormat="1" applyFont="1" applyBorder="1"/>
    <xf numFmtId="2" fontId="1" fillId="0" borderId="30" xfId="0" applyNumberFormat="1" applyFont="1" applyBorder="1"/>
    <xf numFmtId="0" fontId="0" fillId="3" borderId="26" xfId="0" applyFill="1" applyBorder="1" applyAlignment="1">
      <alignment horizontal="right"/>
    </xf>
    <xf numFmtId="0" fontId="1" fillId="0" borderId="3" xfId="0" applyFont="1" applyBorder="1"/>
    <xf numFmtId="0" fontId="1" fillId="0" borderId="4" xfId="0" applyFont="1" applyBorder="1"/>
    <xf numFmtId="0" fontId="1" fillId="0" borderId="5" xfId="0" applyFont="1" applyBorder="1"/>
    <xf numFmtId="0" fontId="0" fillId="0" borderId="0" xfId="0" applyAlignment="1">
      <alignment horizontal="center" vertical="center"/>
    </xf>
    <xf numFmtId="0" fontId="1" fillId="3" borderId="32" xfId="0" applyFont="1" applyFill="1" applyBorder="1" applyAlignment="1">
      <alignment horizontal="left"/>
    </xf>
    <xf numFmtId="0" fontId="1" fillId="3" borderId="33" xfId="0" applyFont="1" applyFill="1" applyBorder="1" applyAlignment="1">
      <alignment horizontal="left"/>
    </xf>
    <xf numFmtId="0" fontId="1" fillId="0" borderId="15" xfId="0" applyFont="1" applyBorder="1"/>
    <xf numFmtId="2" fontId="0" fillId="0" borderId="0" xfId="0" applyNumberFormat="1"/>
    <xf numFmtId="0" fontId="1" fillId="0" borderId="16" xfId="0" applyFont="1" applyBorder="1"/>
    <xf numFmtId="0" fontId="1" fillId="3" borderId="37" xfId="0" applyFont="1" applyFill="1" applyBorder="1" applyAlignment="1">
      <alignment horizontal="left"/>
    </xf>
    <xf numFmtId="0" fontId="1" fillId="9" borderId="0" xfId="0" applyFont="1" applyFill="1" applyAlignment="1">
      <alignment horizontal="center"/>
    </xf>
    <xf numFmtId="0" fontId="1" fillId="0" borderId="14" xfId="0" applyFont="1" applyBorder="1"/>
    <xf numFmtId="0" fontId="1" fillId="7" borderId="0" xfId="0" applyFont="1" applyFill="1" applyAlignment="1">
      <alignment horizontal="center"/>
    </xf>
    <xf numFmtId="0" fontId="1" fillId="3" borderId="11" xfId="0" applyFont="1" applyFill="1" applyBorder="1" applyAlignment="1">
      <alignment horizontal="left"/>
    </xf>
    <xf numFmtId="0" fontId="1" fillId="3" borderId="13" xfId="0" applyFont="1" applyFill="1" applyBorder="1" applyAlignment="1">
      <alignment horizontal="left"/>
    </xf>
    <xf numFmtId="0" fontId="0" fillId="4" borderId="26" xfId="0" applyFill="1" applyBorder="1" applyAlignment="1">
      <alignment horizontal="center"/>
    </xf>
    <xf numFmtId="0" fontId="0" fillId="4" borderId="27" xfId="0" applyFill="1" applyBorder="1" applyAlignment="1">
      <alignment horizontal="center"/>
    </xf>
    <xf numFmtId="0" fontId="0" fillId="4" borderId="28" xfId="0" applyFill="1" applyBorder="1" applyAlignment="1">
      <alignment horizontal="center"/>
    </xf>
    <xf numFmtId="0" fontId="0" fillId="2" borderId="26" xfId="0" applyFill="1" applyBorder="1" applyAlignment="1">
      <alignment horizontal="center"/>
    </xf>
    <xf numFmtId="0" fontId="0" fillId="2" borderId="27" xfId="0" applyFill="1" applyBorder="1" applyAlignment="1">
      <alignment horizontal="center"/>
    </xf>
    <xf numFmtId="0" fontId="0" fillId="2" borderId="28" xfId="0" applyFill="1" applyBorder="1" applyAlignment="1">
      <alignment horizontal="center"/>
    </xf>
    <xf numFmtId="0" fontId="0" fillId="3" borderId="23" xfId="0" applyFill="1" applyBorder="1" applyAlignment="1">
      <alignment horizontal="center"/>
    </xf>
    <xf numFmtId="0" fontId="0" fillId="3" borderId="24" xfId="0" applyFill="1" applyBorder="1" applyAlignment="1">
      <alignment horizontal="center"/>
    </xf>
    <xf numFmtId="0" fontId="0" fillId="3" borderId="25" xfId="0" applyFill="1" applyBorder="1" applyAlignment="1">
      <alignment horizontal="center"/>
    </xf>
    <xf numFmtId="0" fontId="1" fillId="6" borderId="26" xfId="0" applyFont="1" applyFill="1" applyBorder="1" applyAlignment="1">
      <alignment horizontal="center"/>
    </xf>
    <xf numFmtId="0" fontId="1" fillId="6" borderId="27" xfId="0" applyFont="1" applyFill="1" applyBorder="1" applyAlignment="1">
      <alignment horizontal="center"/>
    </xf>
    <xf numFmtId="0" fontId="1" fillId="6" borderId="28" xfId="0" applyFont="1" applyFill="1" applyBorder="1" applyAlignment="1">
      <alignment horizontal="center"/>
    </xf>
    <xf numFmtId="0" fontId="1" fillId="2" borderId="26"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0" fillId="3" borderId="34" xfId="0" applyFill="1" applyBorder="1" applyAlignment="1">
      <alignment horizontal="center"/>
    </xf>
    <xf numFmtId="0" fontId="0" fillId="3" borderId="35" xfId="0" applyFill="1" applyBorder="1" applyAlignment="1">
      <alignment horizontal="center"/>
    </xf>
    <xf numFmtId="0" fontId="0" fillId="3" borderId="36" xfId="0" applyFill="1" applyBorder="1" applyAlignment="1">
      <alignment horizontal="center"/>
    </xf>
    <xf numFmtId="0" fontId="0" fillId="5" borderId="20" xfId="0" applyFill="1" applyBorder="1" applyAlignment="1">
      <alignment horizontal="center" vertical="center"/>
    </xf>
    <xf numFmtId="0" fontId="0" fillId="5" borderId="21" xfId="0" applyFill="1" applyBorder="1" applyAlignment="1">
      <alignment horizontal="center" vertical="center"/>
    </xf>
    <xf numFmtId="0" fontId="0" fillId="5" borderId="22" xfId="0" applyFill="1" applyBorder="1" applyAlignment="1">
      <alignment horizontal="center" vertical="center"/>
    </xf>
    <xf numFmtId="0" fontId="0" fillId="8" borderId="20" xfId="0" applyFill="1" applyBorder="1" applyAlignment="1">
      <alignment horizontal="center" vertical="center"/>
    </xf>
    <xf numFmtId="0" fontId="0" fillId="8" borderId="21" xfId="0" applyFill="1" applyBorder="1" applyAlignment="1">
      <alignment horizontal="center" vertical="center"/>
    </xf>
    <xf numFmtId="0" fontId="0" fillId="8" borderId="22" xfId="0" applyFill="1" applyBorder="1" applyAlignment="1">
      <alignment horizontal="center" vertic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5" borderId="3" xfId="0" applyFill="1" applyBorder="1" applyAlignment="1">
      <alignment horizontal="center" vertical="center"/>
    </xf>
    <xf numFmtId="0" fontId="0" fillId="5" borderId="6" xfId="0" applyFill="1" applyBorder="1" applyAlignment="1">
      <alignment horizontal="center" vertical="center"/>
    </xf>
    <xf numFmtId="0" fontId="0" fillId="5" borderId="8" xfId="0" applyFill="1" applyBorder="1" applyAlignment="1">
      <alignment horizontal="center" vertical="center"/>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8" borderId="3" xfId="0" applyFill="1" applyBorder="1" applyAlignment="1">
      <alignment horizontal="center" vertical="center"/>
    </xf>
    <xf numFmtId="0" fontId="0" fillId="8" borderId="6" xfId="0" applyFill="1" applyBorder="1" applyAlignment="1">
      <alignment horizontal="center" vertical="center"/>
    </xf>
    <xf numFmtId="0" fontId="0" fillId="8" borderId="8" xfId="0" applyFill="1" applyBorder="1" applyAlignment="1">
      <alignment horizontal="center" vertical="center"/>
    </xf>
    <xf numFmtId="0" fontId="0" fillId="3" borderId="13" xfId="0" applyFill="1" applyBorder="1"/>
    <xf numFmtId="0" fontId="0" fillId="10" borderId="22" xfId="0" applyFill="1" applyBorder="1" applyAlignment="1">
      <alignment horizontal="center" vertical="center"/>
    </xf>
    <xf numFmtId="0" fontId="0" fillId="3" borderId="12" xfId="0" applyFill="1" applyBorder="1"/>
    <xf numFmtId="0" fontId="0" fillId="10" borderId="21" xfId="0" applyFill="1" applyBorder="1" applyAlignment="1">
      <alignment horizontal="center" vertical="center"/>
    </xf>
    <xf numFmtId="0" fontId="0" fillId="3" borderId="11" xfId="0" applyFill="1" applyBorder="1"/>
    <xf numFmtId="0" fontId="0" fillId="10" borderId="20"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C28B-5E71-4590-AAB8-88DEEC7A1BD9}">
  <dimension ref="A1:Y4"/>
  <sheetViews>
    <sheetView workbookViewId="0">
      <selection activeCell="C8" sqref="C8"/>
    </sheetView>
  </sheetViews>
  <sheetFormatPr defaultRowHeight="14.5" x14ac:dyDescent="0.35"/>
  <sheetData>
    <row r="1" spans="1:25" ht="15" thickBot="1" x14ac:dyDescent="0.4">
      <c r="A1" t="s">
        <v>20</v>
      </c>
    </row>
    <row r="2" spans="1:25" ht="15" thickBot="1" x14ac:dyDescent="0.4">
      <c r="B2" s="40" t="s">
        <v>19</v>
      </c>
      <c r="C2" s="41"/>
      <c r="D2" s="41"/>
      <c r="E2" s="41"/>
      <c r="F2" s="41"/>
      <c r="G2" s="41"/>
      <c r="H2" s="41"/>
      <c r="I2" s="41"/>
      <c r="J2" s="41"/>
      <c r="K2" s="41"/>
      <c r="L2" s="41"/>
      <c r="M2" s="42"/>
      <c r="N2" s="43" t="s">
        <v>17</v>
      </c>
      <c r="O2" s="44"/>
      <c r="P2" s="44"/>
      <c r="Q2" s="44"/>
      <c r="R2" s="44"/>
      <c r="S2" s="44"/>
      <c r="T2" s="44"/>
      <c r="U2" s="44"/>
      <c r="V2" s="44"/>
      <c r="W2" s="44"/>
      <c r="X2" s="44"/>
      <c r="Y2" s="45"/>
    </row>
    <row r="3" spans="1:25" ht="15" thickBot="1" x14ac:dyDescent="0.4">
      <c r="B3" s="46" t="s">
        <v>5</v>
      </c>
      <c r="C3" s="47"/>
      <c r="D3" s="48"/>
      <c r="E3" s="46" t="s">
        <v>6</v>
      </c>
      <c r="F3" s="47"/>
      <c r="G3" s="48"/>
      <c r="H3" s="46" t="s">
        <v>7</v>
      </c>
      <c r="I3" s="47"/>
      <c r="J3" s="48"/>
      <c r="K3" s="46" t="s">
        <v>8</v>
      </c>
      <c r="L3" s="47"/>
      <c r="M3" s="48"/>
      <c r="N3" s="46" t="s">
        <v>10</v>
      </c>
      <c r="O3" s="47"/>
      <c r="P3" s="48"/>
      <c r="Q3" s="46" t="s">
        <v>11</v>
      </c>
      <c r="R3" s="47"/>
      <c r="S3" s="48"/>
      <c r="T3" s="46" t="s">
        <v>13</v>
      </c>
      <c r="U3" s="47"/>
      <c r="V3" s="48"/>
      <c r="W3" s="46" t="s">
        <v>14</v>
      </c>
      <c r="X3" s="47"/>
      <c r="Y3" s="48"/>
    </row>
    <row r="4" spans="1:25" ht="15" thickBot="1" x14ac:dyDescent="0.4">
      <c r="A4" s="19" t="s">
        <v>18</v>
      </c>
      <c r="B4" s="7">
        <v>14.83</v>
      </c>
      <c r="C4" s="4">
        <v>9.7949999999999999</v>
      </c>
      <c r="D4" s="5">
        <v>1.1619999999999999</v>
      </c>
      <c r="E4" s="7">
        <v>5.83</v>
      </c>
      <c r="F4" s="4">
        <v>4.49</v>
      </c>
      <c r="G4" s="5">
        <v>2.95</v>
      </c>
      <c r="H4" s="7">
        <v>2.9620000000000002</v>
      </c>
      <c r="I4" s="4">
        <v>2.121</v>
      </c>
      <c r="J4" s="5">
        <v>2.0459999999999998</v>
      </c>
      <c r="K4" s="7">
        <v>11.67</v>
      </c>
      <c r="L4" s="4">
        <v>3.5019999999999998</v>
      </c>
      <c r="M4" s="5">
        <v>1.2190000000000001</v>
      </c>
      <c r="N4" s="7">
        <v>20.52</v>
      </c>
      <c r="O4" s="4">
        <v>1.0009999999999999</v>
      </c>
      <c r="P4" s="5">
        <v>10.6</v>
      </c>
      <c r="Q4" s="7">
        <v>3.1</v>
      </c>
      <c r="R4" s="4">
        <v>2.1819999999999999</v>
      </c>
      <c r="S4" s="5">
        <v>1.2549999999999999</v>
      </c>
      <c r="T4" s="7">
        <v>6.5010000000000003</v>
      </c>
      <c r="U4" s="4">
        <v>1.68</v>
      </c>
      <c r="V4" s="5">
        <v>2.7490000000000001</v>
      </c>
      <c r="W4" s="7">
        <v>7.1840000000000002</v>
      </c>
      <c r="X4" s="4">
        <v>1.3460000000000001</v>
      </c>
      <c r="Y4" s="5">
        <v>11.53</v>
      </c>
    </row>
  </sheetData>
  <mergeCells count="10">
    <mergeCell ref="B2:M2"/>
    <mergeCell ref="N2:Y2"/>
    <mergeCell ref="B3:D3"/>
    <mergeCell ref="E3:G3"/>
    <mergeCell ref="H3:J3"/>
    <mergeCell ref="K3:M3"/>
    <mergeCell ref="N3:P3"/>
    <mergeCell ref="Q3:S3"/>
    <mergeCell ref="T3:V3"/>
    <mergeCell ref="W3:Y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F501-970C-4D99-A31C-C2B5905668DD}">
  <dimension ref="A1:Y9"/>
  <sheetViews>
    <sheetView workbookViewId="0"/>
  </sheetViews>
  <sheetFormatPr defaultRowHeight="14.5" x14ac:dyDescent="0.35"/>
  <cols>
    <col min="3" max="17" width="9.54296875" bestFit="1" customWidth="1"/>
    <col min="19" max="26" width="9.54296875" bestFit="1" customWidth="1"/>
  </cols>
  <sheetData>
    <row r="1" spans="1:25" ht="15" thickBot="1" x14ac:dyDescent="0.4">
      <c r="A1" t="s">
        <v>23</v>
      </c>
    </row>
    <row r="2" spans="1:25" ht="15" thickBot="1" x14ac:dyDescent="0.4">
      <c r="A2" s="1"/>
      <c r="B2" s="49" t="s">
        <v>19</v>
      </c>
      <c r="C2" s="50"/>
      <c r="D2" s="50"/>
      <c r="E2" s="50"/>
      <c r="F2" s="50"/>
      <c r="G2" s="50"/>
      <c r="H2" s="50"/>
      <c r="I2" s="50"/>
      <c r="J2" s="50"/>
      <c r="K2" s="50"/>
      <c r="L2" s="50"/>
      <c r="M2" s="51"/>
      <c r="N2" s="52" t="s">
        <v>17</v>
      </c>
      <c r="O2" s="53"/>
      <c r="P2" s="53"/>
      <c r="Q2" s="53"/>
      <c r="R2" s="53"/>
      <c r="S2" s="53"/>
      <c r="T2" s="53"/>
      <c r="U2" s="53"/>
      <c r="V2" s="53"/>
      <c r="W2" s="53"/>
      <c r="X2" s="53"/>
      <c r="Y2" s="54"/>
    </row>
    <row r="3" spans="1:25" ht="15" thickBot="1" x14ac:dyDescent="0.4">
      <c r="B3" s="46" t="s">
        <v>5</v>
      </c>
      <c r="C3" s="47"/>
      <c r="D3" s="48"/>
      <c r="E3" s="46" t="s">
        <v>6</v>
      </c>
      <c r="F3" s="47"/>
      <c r="G3" s="48"/>
      <c r="H3" s="46" t="s">
        <v>7</v>
      </c>
      <c r="I3" s="47"/>
      <c r="J3" s="48"/>
      <c r="K3" s="46" t="s">
        <v>8</v>
      </c>
      <c r="L3" s="47"/>
      <c r="M3" s="48"/>
      <c r="N3" s="46" t="s">
        <v>10</v>
      </c>
      <c r="O3" s="47"/>
      <c r="P3" s="48"/>
      <c r="Q3" s="46" t="s">
        <v>11</v>
      </c>
      <c r="R3" s="47"/>
      <c r="S3" s="48"/>
      <c r="T3" s="46" t="s">
        <v>13</v>
      </c>
      <c r="U3" s="47"/>
      <c r="V3" s="48"/>
      <c r="W3" s="46" t="s">
        <v>14</v>
      </c>
      <c r="X3" s="47"/>
      <c r="Y3" s="48"/>
    </row>
    <row r="4" spans="1:25" ht="15" thickBot="1" x14ac:dyDescent="0.4">
      <c r="A4" s="20" t="s">
        <v>21</v>
      </c>
      <c r="B4" s="21">
        <v>12.36964</v>
      </c>
      <c r="C4" s="22">
        <v>11.877079999999999</v>
      </c>
      <c r="D4" s="23">
        <v>12.3283</v>
      </c>
      <c r="E4" s="21">
        <v>11.915509999999999</v>
      </c>
      <c r="F4" s="22">
        <v>12.25282</v>
      </c>
      <c r="G4" s="23">
        <v>12.19234</v>
      </c>
      <c r="H4" s="21">
        <v>12.41086</v>
      </c>
      <c r="I4" s="22">
        <v>11.26005</v>
      </c>
      <c r="J4" s="23">
        <v>11.230449999999999</v>
      </c>
      <c r="K4" s="21">
        <v>12.882210000000001</v>
      </c>
      <c r="L4" s="22">
        <v>12.896280000000001</v>
      </c>
      <c r="M4" s="23">
        <v>12.90686</v>
      </c>
      <c r="N4" s="21">
        <v>12.13627</v>
      </c>
      <c r="O4" s="22">
        <v>12.531610000000001</v>
      </c>
      <c r="P4" s="23">
        <v>12.844860000000001</v>
      </c>
      <c r="Q4" s="21">
        <v>12.060389041900635</v>
      </c>
      <c r="R4" s="22">
        <v>11.87931</v>
      </c>
      <c r="S4" s="23">
        <v>12.353770000000001</v>
      </c>
      <c r="T4" s="21">
        <v>12.06039</v>
      </c>
      <c r="U4" s="22">
        <v>12.285310000000001</v>
      </c>
      <c r="V4" s="23">
        <v>13.139089999999999</v>
      </c>
      <c r="W4" s="21">
        <v>12.407400000000001</v>
      </c>
      <c r="X4" s="22">
        <v>12.768269999999999</v>
      </c>
      <c r="Y4" s="23">
        <v>13.05125</v>
      </c>
    </row>
    <row r="6" spans="1:25" ht="15" thickBot="1" x14ac:dyDescent="0.4"/>
    <row r="7" spans="1:25" ht="15" thickBot="1" x14ac:dyDescent="0.4">
      <c r="A7" s="1"/>
      <c r="B7" s="49" t="s">
        <v>19</v>
      </c>
      <c r="C7" s="50"/>
      <c r="D7" s="50"/>
      <c r="E7" s="50"/>
      <c r="F7" s="50"/>
      <c r="G7" s="50"/>
      <c r="H7" s="50"/>
      <c r="I7" s="50"/>
      <c r="J7" s="50"/>
      <c r="K7" s="50"/>
      <c r="L7" s="50"/>
      <c r="M7" s="51"/>
      <c r="N7" s="52" t="s">
        <v>17</v>
      </c>
      <c r="O7" s="53"/>
      <c r="P7" s="53"/>
      <c r="Q7" s="53"/>
      <c r="R7" s="53"/>
      <c r="S7" s="53"/>
      <c r="T7" s="53"/>
      <c r="U7" s="53"/>
      <c r="V7" s="53"/>
      <c r="W7" s="53"/>
      <c r="X7" s="53"/>
      <c r="Y7" s="54"/>
    </row>
    <row r="8" spans="1:25" ht="15" thickBot="1" x14ac:dyDescent="0.4">
      <c r="B8" s="46" t="s">
        <v>5</v>
      </c>
      <c r="C8" s="47"/>
      <c r="D8" s="48"/>
      <c r="E8" s="46" t="s">
        <v>6</v>
      </c>
      <c r="F8" s="47"/>
      <c r="G8" s="48"/>
      <c r="H8" s="46" t="s">
        <v>7</v>
      </c>
      <c r="I8" s="47"/>
      <c r="J8" s="48"/>
      <c r="K8" s="46" t="s">
        <v>8</v>
      </c>
      <c r="L8" s="47"/>
      <c r="M8" s="48"/>
      <c r="N8" s="46" t="s">
        <v>10</v>
      </c>
      <c r="O8" s="47"/>
      <c r="P8" s="48"/>
      <c r="Q8" s="46" t="s">
        <v>11</v>
      </c>
      <c r="R8" s="47"/>
      <c r="S8" s="48"/>
      <c r="T8" s="46" t="s">
        <v>13</v>
      </c>
      <c r="U8" s="47"/>
      <c r="V8" s="48"/>
      <c r="W8" s="46" t="s">
        <v>14</v>
      </c>
      <c r="X8" s="47"/>
      <c r="Y8" s="48"/>
    </row>
    <row r="9" spans="1:25" ht="15" thickBot="1" x14ac:dyDescent="0.4">
      <c r="A9" s="20" t="s">
        <v>22</v>
      </c>
      <c r="B9" s="21">
        <v>8.2529380000000003</v>
      </c>
      <c r="C9" s="22">
        <v>8.2916869999999996</v>
      </c>
      <c r="D9" s="23">
        <v>8.1183779999999999</v>
      </c>
      <c r="E9" s="21">
        <v>7.9882759999999999</v>
      </c>
      <c r="F9" s="22">
        <v>7.838247</v>
      </c>
      <c r="G9" s="23">
        <v>8.1495920000000002</v>
      </c>
      <c r="H9" s="21">
        <v>7.9224030000000001</v>
      </c>
      <c r="I9" s="22">
        <v>7.4995409999999998</v>
      </c>
      <c r="J9" s="23">
        <v>6.9455790000000004</v>
      </c>
      <c r="K9" s="21">
        <v>8.6203749999999992</v>
      </c>
      <c r="L9" s="22">
        <v>8.4780809999999995</v>
      </c>
      <c r="M9" s="23">
        <v>8.5835989999999995</v>
      </c>
      <c r="N9" s="21">
        <v>7.5163849999999996</v>
      </c>
      <c r="O9" s="22">
        <v>7.9814400000000001</v>
      </c>
      <c r="P9" s="23">
        <v>8.0155899999999995</v>
      </c>
      <c r="Q9" s="21">
        <v>7.8710389137268066</v>
      </c>
      <c r="R9" s="22">
        <v>8.148199</v>
      </c>
      <c r="S9" s="23">
        <v>7.9298159999999998</v>
      </c>
      <c r="T9" s="21">
        <v>7.8710389999999997</v>
      </c>
      <c r="U9" s="22">
        <v>8.2046329999999994</v>
      </c>
      <c r="V9" s="23">
        <v>8.604139</v>
      </c>
      <c r="W9" s="21">
        <v>8.0941279999999995</v>
      </c>
      <c r="X9" s="22">
        <v>8.1242640000000002</v>
      </c>
      <c r="Y9" s="23">
        <v>8.5231030000000008</v>
      </c>
    </row>
  </sheetData>
  <mergeCells count="20">
    <mergeCell ref="B7:M7"/>
    <mergeCell ref="N7:Y7"/>
    <mergeCell ref="B8:D8"/>
    <mergeCell ref="E8:G8"/>
    <mergeCell ref="H8:J8"/>
    <mergeCell ref="K8:M8"/>
    <mergeCell ref="N8:P8"/>
    <mergeCell ref="Q8:S8"/>
    <mergeCell ref="T8:V8"/>
    <mergeCell ref="W8:Y8"/>
    <mergeCell ref="B2:M2"/>
    <mergeCell ref="N2:Y2"/>
    <mergeCell ref="B3:D3"/>
    <mergeCell ref="E3:G3"/>
    <mergeCell ref="H3:J3"/>
    <mergeCell ref="K3:M3"/>
    <mergeCell ref="N3:P3"/>
    <mergeCell ref="Q3:S3"/>
    <mergeCell ref="T3:V3"/>
    <mergeCell ref="W3:Y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5E25-DD51-4914-99B1-BE542180ADB4}">
  <dimension ref="A1:AF40"/>
  <sheetViews>
    <sheetView zoomScale="80" zoomScaleNormal="80" workbookViewId="0">
      <selection activeCell="A12" sqref="A12:A16"/>
    </sheetView>
  </sheetViews>
  <sheetFormatPr defaultRowHeight="14.5" x14ac:dyDescent="0.35"/>
  <cols>
    <col min="2" max="2" width="16.26953125" customWidth="1"/>
  </cols>
  <sheetData>
    <row r="1" spans="1:32" ht="15" thickBot="1" x14ac:dyDescent="0.4">
      <c r="A1" t="s">
        <v>29</v>
      </c>
    </row>
    <row r="2" spans="1:32" ht="15" thickBot="1" x14ac:dyDescent="0.4">
      <c r="C2" s="49" t="s">
        <v>19</v>
      </c>
      <c r="D2" s="50"/>
      <c r="E2" s="50"/>
      <c r="F2" s="50"/>
      <c r="G2" s="50"/>
      <c r="H2" s="50"/>
      <c r="I2" s="50"/>
      <c r="J2" s="50"/>
      <c r="K2" s="50"/>
      <c r="L2" s="50"/>
      <c r="M2" s="50"/>
      <c r="N2" s="50"/>
      <c r="O2" s="50"/>
      <c r="P2" s="50"/>
      <c r="Q2" s="51"/>
      <c r="R2" s="52" t="s">
        <v>17</v>
      </c>
      <c r="S2" s="53"/>
      <c r="T2" s="53"/>
      <c r="U2" s="53"/>
      <c r="V2" s="53"/>
      <c r="W2" s="53"/>
      <c r="X2" s="53"/>
      <c r="Y2" s="53"/>
      <c r="Z2" s="53"/>
      <c r="AA2" s="53"/>
      <c r="AB2" s="53"/>
      <c r="AC2" s="53"/>
      <c r="AD2" s="53"/>
      <c r="AE2" s="53"/>
      <c r="AF2" s="54"/>
    </row>
    <row r="3" spans="1:32" ht="15" thickBot="1" x14ac:dyDescent="0.4">
      <c r="C3" s="55" t="s">
        <v>5</v>
      </c>
      <c r="D3" s="56"/>
      <c r="E3" s="57"/>
      <c r="F3" s="55" t="s">
        <v>6</v>
      </c>
      <c r="G3" s="56"/>
      <c r="H3" s="57"/>
      <c r="I3" s="55" t="s">
        <v>7</v>
      </c>
      <c r="J3" s="56"/>
      <c r="K3" s="57"/>
      <c r="L3" s="55" t="s">
        <v>8</v>
      </c>
      <c r="M3" s="56"/>
      <c r="N3" s="57"/>
      <c r="O3" s="55" t="s">
        <v>9</v>
      </c>
      <c r="P3" s="56"/>
      <c r="Q3" s="57"/>
      <c r="R3" s="55" t="s">
        <v>10</v>
      </c>
      <c r="S3" s="56"/>
      <c r="T3" s="57"/>
      <c r="U3" s="55" t="s">
        <v>11</v>
      </c>
      <c r="V3" s="56"/>
      <c r="W3" s="57"/>
      <c r="X3" s="55" t="s">
        <v>12</v>
      </c>
      <c r="Y3" s="56"/>
      <c r="Z3" s="57"/>
      <c r="AA3" s="55" t="s">
        <v>13</v>
      </c>
      <c r="AB3" s="56"/>
      <c r="AC3" s="57"/>
      <c r="AD3" s="55" t="s">
        <v>14</v>
      </c>
      <c r="AE3" s="56"/>
      <c r="AF3" s="57"/>
    </row>
    <row r="4" spans="1:32" ht="15" thickBot="1" x14ac:dyDescent="0.4">
      <c r="A4" s="58" t="s">
        <v>0</v>
      </c>
      <c r="B4" s="24">
        <v>0</v>
      </c>
      <c r="C4" s="25">
        <v>14.41</v>
      </c>
      <c r="D4" s="26">
        <v>13.39</v>
      </c>
      <c r="E4" s="27">
        <v>12.25</v>
      </c>
      <c r="F4" s="25">
        <v>15.6</v>
      </c>
      <c r="G4" s="26">
        <v>15.09</v>
      </c>
      <c r="H4" s="27">
        <v>14.36</v>
      </c>
      <c r="I4" s="25">
        <v>11.55</v>
      </c>
      <c r="J4" s="26">
        <v>11.82</v>
      </c>
      <c r="K4" s="27">
        <v>12.44</v>
      </c>
      <c r="L4" s="25">
        <v>13.91</v>
      </c>
      <c r="M4" s="26">
        <v>14.53</v>
      </c>
      <c r="N4" s="27">
        <v>15.12</v>
      </c>
      <c r="O4" s="25">
        <v>15.04</v>
      </c>
      <c r="P4" s="26">
        <v>14.27</v>
      </c>
      <c r="Q4" s="27">
        <v>14.98</v>
      </c>
      <c r="R4" s="25">
        <v>14.28</v>
      </c>
      <c r="S4" s="26">
        <v>16.34</v>
      </c>
      <c r="T4" s="27">
        <v>14.61</v>
      </c>
      <c r="U4" s="25">
        <v>13.74</v>
      </c>
      <c r="V4" s="26">
        <v>13.14</v>
      </c>
      <c r="W4" s="27">
        <v>14.17</v>
      </c>
      <c r="X4" s="25">
        <v>16.8</v>
      </c>
      <c r="Y4" s="26">
        <v>18.03</v>
      </c>
      <c r="Z4" s="27">
        <v>17.13</v>
      </c>
      <c r="AA4" s="25">
        <v>14.61</v>
      </c>
      <c r="AB4" s="26">
        <v>14.13</v>
      </c>
      <c r="AC4" s="27">
        <v>14.03</v>
      </c>
      <c r="AD4" s="25">
        <v>13.68</v>
      </c>
      <c r="AE4" s="26">
        <v>13.62</v>
      </c>
      <c r="AF4" s="27">
        <v>12.65</v>
      </c>
    </row>
    <row r="5" spans="1:32" ht="15" thickBot="1" x14ac:dyDescent="0.4">
      <c r="A5" s="59"/>
      <c r="B5" s="24">
        <v>0.1</v>
      </c>
      <c r="C5" s="6">
        <v>4.8499999999999996</v>
      </c>
      <c r="D5" s="2">
        <v>3.59</v>
      </c>
      <c r="E5" s="3">
        <v>3.43</v>
      </c>
      <c r="F5" s="6">
        <v>9.94</v>
      </c>
      <c r="G5" s="2">
        <v>6.94</v>
      </c>
      <c r="H5" s="3">
        <v>7.02</v>
      </c>
      <c r="I5" s="6">
        <v>2</v>
      </c>
      <c r="J5" s="2">
        <v>2.4300000000000002</v>
      </c>
      <c r="K5" s="3">
        <v>1.64</v>
      </c>
      <c r="L5" s="6">
        <v>2.64</v>
      </c>
      <c r="M5" s="2">
        <v>2.4</v>
      </c>
      <c r="N5" s="3">
        <v>3.81</v>
      </c>
      <c r="O5" s="6">
        <v>3.61</v>
      </c>
      <c r="P5" s="2">
        <v>2.16</v>
      </c>
      <c r="Q5" s="3">
        <v>2.36</v>
      </c>
      <c r="R5" s="6">
        <v>8.2799999999999994</v>
      </c>
      <c r="S5" s="2">
        <v>8.5299999999999994</v>
      </c>
      <c r="T5" s="3">
        <v>7.32</v>
      </c>
      <c r="U5" s="6">
        <v>10.26</v>
      </c>
      <c r="V5" s="2">
        <v>8.89</v>
      </c>
      <c r="W5" s="3">
        <v>6.55</v>
      </c>
      <c r="X5" s="6">
        <v>17.510000000000002</v>
      </c>
      <c r="Y5" s="2">
        <v>19.23</v>
      </c>
      <c r="Z5" s="3">
        <v>12.97</v>
      </c>
      <c r="AA5" s="6">
        <v>4.6399999999999997</v>
      </c>
      <c r="AB5" s="2">
        <v>4.8600000000000003</v>
      </c>
      <c r="AC5" s="3">
        <v>5.45</v>
      </c>
      <c r="AD5" s="6">
        <v>10.07</v>
      </c>
      <c r="AE5" s="2">
        <v>7.76</v>
      </c>
      <c r="AF5" s="3">
        <v>7.75</v>
      </c>
    </row>
    <row r="6" spans="1:32" ht="15" thickBot="1" x14ac:dyDescent="0.4">
      <c r="A6" s="59"/>
      <c r="B6" s="24">
        <v>1</v>
      </c>
      <c r="C6" s="6">
        <v>2.58</v>
      </c>
      <c r="D6" s="2">
        <v>2.58</v>
      </c>
      <c r="E6" s="3">
        <v>-0.32</v>
      </c>
      <c r="F6" s="6">
        <v>6.59</v>
      </c>
      <c r="G6" s="2">
        <v>2.78</v>
      </c>
      <c r="H6" s="3">
        <v>2.82</v>
      </c>
      <c r="I6" s="6">
        <v>0.06</v>
      </c>
      <c r="J6" s="2">
        <v>0.61</v>
      </c>
      <c r="K6" s="3">
        <v>0.9</v>
      </c>
      <c r="L6" s="6">
        <v>-0.28000000000000003</v>
      </c>
      <c r="M6" s="2">
        <v>-0.21</v>
      </c>
      <c r="N6" s="3">
        <v>0.9</v>
      </c>
      <c r="O6" s="6">
        <v>1.1399999999999999</v>
      </c>
      <c r="P6" s="2">
        <v>0.97</v>
      </c>
      <c r="Q6" s="3">
        <v>0.12</v>
      </c>
      <c r="R6" s="6">
        <v>6.63</v>
      </c>
      <c r="S6" s="2">
        <v>5.76</v>
      </c>
      <c r="T6" s="3">
        <v>4.55</v>
      </c>
      <c r="U6" s="6">
        <v>5.8</v>
      </c>
      <c r="V6" s="2">
        <v>5.44</v>
      </c>
      <c r="W6" s="3">
        <v>2.68</v>
      </c>
      <c r="X6" s="6">
        <v>12.72</v>
      </c>
      <c r="Y6" s="2">
        <v>10.92</v>
      </c>
      <c r="Z6" s="3">
        <v>17.66</v>
      </c>
      <c r="AA6" s="6">
        <v>2.42</v>
      </c>
      <c r="AB6" s="2">
        <v>2.48</v>
      </c>
      <c r="AC6" s="3">
        <v>3.07</v>
      </c>
      <c r="AD6" s="6">
        <v>4.9400000000000004</v>
      </c>
      <c r="AE6" s="2">
        <v>3.33</v>
      </c>
      <c r="AF6" s="3">
        <v>3.49</v>
      </c>
    </row>
    <row r="7" spans="1:32" ht="15" thickBot="1" x14ac:dyDescent="0.4">
      <c r="A7" s="59"/>
      <c r="B7" s="24">
        <v>10</v>
      </c>
      <c r="C7" s="6">
        <v>2.0299999999999998</v>
      </c>
      <c r="D7" s="2">
        <v>1.38</v>
      </c>
      <c r="E7" s="3">
        <v>-2.14</v>
      </c>
      <c r="F7" s="6">
        <v>2.58</v>
      </c>
      <c r="G7" s="2">
        <v>-0.86</v>
      </c>
      <c r="H7" s="3">
        <v>-0.75</v>
      </c>
      <c r="I7" s="6">
        <v>-0.89</v>
      </c>
      <c r="J7" s="2">
        <v>0.33</v>
      </c>
      <c r="K7" s="3">
        <v>-0.11</v>
      </c>
      <c r="L7" s="6">
        <v>-1.38</v>
      </c>
      <c r="M7" s="2">
        <v>-0.6</v>
      </c>
      <c r="N7" s="3">
        <v>0.92</v>
      </c>
      <c r="O7" s="6">
        <v>1.03</v>
      </c>
      <c r="P7" s="2">
        <v>-0.23</v>
      </c>
      <c r="Q7" s="3">
        <v>-0.4</v>
      </c>
      <c r="R7" s="6">
        <v>4.45</v>
      </c>
      <c r="S7" s="2">
        <v>5.04</v>
      </c>
      <c r="T7" s="3">
        <v>4.1100000000000003</v>
      </c>
      <c r="U7" s="6">
        <v>1.83</v>
      </c>
      <c r="V7" s="2">
        <v>1.41</v>
      </c>
      <c r="W7" s="3">
        <v>-1.45</v>
      </c>
      <c r="X7" s="6">
        <v>7.79</v>
      </c>
      <c r="Y7" s="2">
        <v>8.3699999999999992</v>
      </c>
      <c r="Z7" s="3">
        <v>7.59</v>
      </c>
      <c r="AA7" s="6">
        <v>0.6</v>
      </c>
      <c r="AB7" s="2">
        <v>1.19</v>
      </c>
      <c r="AC7" s="3">
        <v>1.72</v>
      </c>
      <c r="AD7" s="6">
        <v>2.15</v>
      </c>
      <c r="AE7" s="2">
        <v>1.06</v>
      </c>
      <c r="AF7" s="3">
        <v>1.0900000000000001</v>
      </c>
    </row>
    <row r="8" spans="1:32" ht="15" thickBot="1" x14ac:dyDescent="0.4">
      <c r="A8" s="60"/>
      <c r="B8" s="24">
        <v>100</v>
      </c>
      <c r="C8" s="7">
        <v>2.0499999999999998</v>
      </c>
      <c r="D8" s="4">
        <v>1.96</v>
      </c>
      <c r="E8" s="5">
        <v>0.59</v>
      </c>
      <c r="F8" s="7">
        <v>2.2000000000000002</v>
      </c>
      <c r="G8" s="4">
        <v>-0.6</v>
      </c>
      <c r="H8" s="5">
        <v>-0.86</v>
      </c>
      <c r="I8" s="7">
        <v>-1.64</v>
      </c>
      <c r="J8" s="4">
        <v>0.5</v>
      </c>
      <c r="K8" s="5">
        <v>-0.21</v>
      </c>
      <c r="L8" s="7">
        <v>-1.6</v>
      </c>
      <c r="M8" s="4">
        <v>-1</v>
      </c>
      <c r="N8" s="5">
        <v>0.9</v>
      </c>
      <c r="O8" s="7">
        <v>1.1100000000000001</v>
      </c>
      <c r="P8" s="4">
        <v>-0.01</v>
      </c>
      <c r="Q8" s="5">
        <v>0.87</v>
      </c>
      <c r="R8" s="7">
        <v>3.85</v>
      </c>
      <c r="S8" s="4">
        <v>4.8099999999999996</v>
      </c>
      <c r="T8" s="5">
        <v>3.8</v>
      </c>
      <c r="U8" s="7">
        <v>0.18</v>
      </c>
      <c r="V8" s="4">
        <v>-0.03</v>
      </c>
      <c r="W8" s="5">
        <v>-2.11</v>
      </c>
      <c r="X8" s="7">
        <v>6.51</v>
      </c>
      <c r="Y8" s="4">
        <v>3</v>
      </c>
      <c r="Z8" s="5">
        <v>5.3</v>
      </c>
      <c r="AA8" s="7">
        <v>7.0000000000000007E-2</v>
      </c>
      <c r="AB8" s="4">
        <v>1.36</v>
      </c>
      <c r="AC8" s="5">
        <v>1.89</v>
      </c>
      <c r="AD8" s="7">
        <v>2.46</v>
      </c>
      <c r="AE8" s="4">
        <v>0.3</v>
      </c>
      <c r="AF8" s="5">
        <v>0.26</v>
      </c>
    </row>
    <row r="9" spans="1:32" ht="15" thickBot="1" x14ac:dyDescent="0.4"/>
    <row r="10" spans="1:32" ht="15" thickBot="1" x14ac:dyDescent="0.4">
      <c r="C10" s="49" t="s">
        <v>19</v>
      </c>
      <c r="D10" s="50"/>
      <c r="E10" s="50"/>
      <c r="F10" s="50"/>
      <c r="G10" s="50"/>
      <c r="H10" s="50"/>
      <c r="I10" s="50"/>
      <c r="J10" s="50"/>
      <c r="K10" s="50"/>
      <c r="L10" s="50"/>
      <c r="M10" s="50"/>
      <c r="N10" s="50"/>
      <c r="O10" s="50"/>
      <c r="P10" s="50"/>
      <c r="Q10" s="51"/>
      <c r="R10" s="52" t="s">
        <v>17</v>
      </c>
      <c r="S10" s="53"/>
      <c r="T10" s="53"/>
      <c r="U10" s="53"/>
      <c r="V10" s="53"/>
      <c r="W10" s="53"/>
      <c r="X10" s="53"/>
      <c r="Y10" s="53"/>
      <c r="Z10" s="53"/>
      <c r="AA10" s="53"/>
      <c r="AB10" s="53"/>
      <c r="AC10" s="53"/>
      <c r="AD10" s="53"/>
      <c r="AE10" s="53"/>
      <c r="AF10" s="54"/>
    </row>
    <row r="11" spans="1:32" ht="15" thickBot="1" x14ac:dyDescent="0.4">
      <c r="C11" s="55" t="s">
        <v>5</v>
      </c>
      <c r="D11" s="56"/>
      <c r="E11" s="57"/>
      <c r="F11" s="55" t="s">
        <v>6</v>
      </c>
      <c r="G11" s="56"/>
      <c r="H11" s="57"/>
      <c r="I11" s="55" t="s">
        <v>7</v>
      </c>
      <c r="J11" s="56"/>
      <c r="K11" s="57"/>
      <c r="L11" s="55" t="s">
        <v>8</v>
      </c>
      <c r="M11" s="56"/>
      <c r="N11" s="57"/>
      <c r="O11" s="55" t="s">
        <v>9</v>
      </c>
      <c r="P11" s="56"/>
      <c r="Q11" s="57"/>
      <c r="R11" s="55" t="s">
        <v>10</v>
      </c>
      <c r="S11" s="56"/>
      <c r="T11" s="57"/>
      <c r="U11" s="55" t="s">
        <v>11</v>
      </c>
      <c r="V11" s="56"/>
      <c r="W11" s="57"/>
      <c r="X11" s="55" t="s">
        <v>12</v>
      </c>
      <c r="Y11" s="56"/>
      <c r="Z11" s="57"/>
      <c r="AA11" s="55" t="s">
        <v>13</v>
      </c>
      <c r="AB11" s="56"/>
      <c r="AC11" s="57"/>
      <c r="AD11" s="55" t="s">
        <v>14</v>
      </c>
      <c r="AE11" s="56"/>
      <c r="AF11" s="57"/>
    </row>
    <row r="12" spans="1:32" ht="15" thickBot="1" x14ac:dyDescent="0.4">
      <c r="A12" s="58" t="s">
        <v>1</v>
      </c>
      <c r="B12" s="24">
        <v>0</v>
      </c>
      <c r="C12" s="25">
        <v>13.59</v>
      </c>
      <c r="D12" s="26">
        <v>13.31</v>
      </c>
      <c r="E12" s="27">
        <v>15.02</v>
      </c>
      <c r="F12" s="25">
        <v>14.1</v>
      </c>
      <c r="G12" s="26">
        <v>14.85</v>
      </c>
      <c r="H12" s="27">
        <v>14.36</v>
      </c>
      <c r="I12" s="25">
        <v>13.23</v>
      </c>
      <c r="J12" s="26">
        <v>11.77</v>
      </c>
      <c r="K12" s="27">
        <v>13.6</v>
      </c>
      <c r="L12" s="25">
        <v>13.17</v>
      </c>
      <c r="M12" s="26">
        <v>13.91</v>
      </c>
      <c r="N12" s="27">
        <v>15.12</v>
      </c>
      <c r="O12" s="25">
        <v>12.8</v>
      </c>
      <c r="P12" s="26">
        <v>12.77</v>
      </c>
      <c r="Q12" s="27">
        <v>12.99</v>
      </c>
      <c r="R12" s="25">
        <v>12.81</v>
      </c>
      <c r="S12" s="26">
        <v>15.98</v>
      </c>
      <c r="T12" s="27">
        <v>14.61</v>
      </c>
      <c r="U12" s="25">
        <v>13.74</v>
      </c>
      <c r="V12" s="26">
        <v>13.14</v>
      </c>
      <c r="W12" s="27">
        <v>12.76</v>
      </c>
      <c r="X12" s="25">
        <v>12.99</v>
      </c>
      <c r="Y12" s="26">
        <v>14.63</v>
      </c>
      <c r="Z12" s="27">
        <v>13.37</v>
      </c>
      <c r="AA12" s="25">
        <v>12.33</v>
      </c>
      <c r="AB12" s="26">
        <v>11.78</v>
      </c>
      <c r="AC12" s="27">
        <v>12.22</v>
      </c>
      <c r="AD12" s="25">
        <v>13.68</v>
      </c>
      <c r="AE12" s="26">
        <v>13.44</v>
      </c>
      <c r="AF12" s="27">
        <v>12.65</v>
      </c>
    </row>
    <row r="13" spans="1:32" ht="15" thickBot="1" x14ac:dyDescent="0.4">
      <c r="A13" s="59"/>
      <c r="B13" s="24">
        <v>0.1</v>
      </c>
      <c r="C13" s="6">
        <v>12.71</v>
      </c>
      <c r="D13" s="2">
        <v>11.92</v>
      </c>
      <c r="E13" s="3">
        <v>13.86</v>
      </c>
      <c r="F13" s="6">
        <v>14.87</v>
      </c>
      <c r="G13" s="2">
        <v>13.68</v>
      </c>
      <c r="H13" s="3">
        <v>14.04</v>
      </c>
      <c r="I13" s="6">
        <v>13.3</v>
      </c>
      <c r="J13" s="2">
        <v>12.05</v>
      </c>
      <c r="K13" s="3">
        <v>12.94</v>
      </c>
      <c r="L13" s="6">
        <v>12.38</v>
      </c>
      <c r="M13" s="2">
        <v>13.53</v>
      </c>
      <c r="N13" s="3">
        <v>14.85</v>
      </c>
      <c r="O13" s="6">
        <v>12.04</v>
      </c>
      <c r="P13" s="2">
        <v>12.38</v>
      </c>
      <c r="Q13" s="3">
        <v>12.4</v>
      </c>
      <c r="R13" s="6">
        <v>13.99</v>
      </c>
      <c r="S13" s="2">
        <v>13.81</v>
      </c>
      <c r="T13" s="3">
        <v>14.09</v>
      </c>
      <c r="U13" s="6">
        <v>13.95</v>
      </c>
      <c r="V13" s="2">
        <v>13.18</v>
      </c>
      <c r="W13" s="3">
        <v>12.69</v>
      </c>
      <c r="X13" s="6">
        <v>13.79</v>
      </c>
      <c r="Y13" s="2">
        <v>16.190000000000001</v>
      </c>
      <c r="Z13" s="3">
        <v>16.309999999999999</v>
      </c>
      <c r="AA13" s="6">
        <v>10.89</v>
      </c>
      <c r="AB13" s="2">
        <v>11.75</v>
      </c>
      <c r="AC13" s="3">
        <v>12.23</v>
      </c>
      <c r="AD13" s="6">
        <v>13.81</v>
      </c>
      <c r="AE13" s="2">
        <v>13.12</v>
      </c>
      <c r="AF13" s="3">
        <v>11.94</v>
      </c>
    </row>
    <row r="14" spans="1:32" ht="15" thickBot="1" x14ac:dyDescent="0.4">
      <c r="A14" s="59"/>
      <c r="B14" s="24">
        <v>1</v>
      </c>
      <c r="C14" s="6">
        <v>11.98</v>
      </c>
      <c r="D14" s="2">
        <v>13.15</v>
      </c>
      <c r="E14" s="3">
        <v>11.71</v>
      </c>
      <c r="F14" s="6">
        <v>15.16</v>
      </c>
      <c r="G14" s="2">
        <v>12.63</v>
      </c>
      <c r="H14" s="3">
        <v>14.33</v>
      </c>
      <c r="I14" s="6">
        <v>12.68</v>
      </c>
      <c r="J14" s="2">
        <v>11.78</v>
      </c>
      <c r="K14" s="3">
        <v>12.82</v>
      </c>
      <c r="L14" s="6">
        <v>11.78</v>
      </c>
      <c r="M14" s="2">
        <v>12.87</v>
      </c>
      <c r="N14" s="3">
        <v>13.51</v>
      </c>
      <c r="O14" s="6">
        <v>12.21</v>
      </c>
      <c r="P14" s="2">
        <v>12.38</v>
      </c>
      <c r="Q14" s="3">
        <v>11.71</v>
      </c>
      <c r="R14" s="6">
        <v>13.89</v>
      </c>
      <c r="S14" s="2">
        <v>15.16</v>
      </c>
      <c r="T14" s="3">
        <v>13.56</v>
      </c>
      <c r="U14" s="6">
        <v>13.08</v>
      </c>
      <c r="V14" s="2">
        <v>13.57</v>
      </c>
      <c r="W14" s="3">
        <v>13.56</v>
      </c>
      <c r="X14" s="6">
        <v>14.64</v>
      </c>
      <c r="Y14" s="2">
        <v>12.74</v>
      </c>
      <c r="Z14" s="3">
        <v>14.45</v>
      </c>
      <c r="AA14" s="6">
        <v>11.71</v>
      </c>
      <c r="AB14" s="2">
        <v>10.76</v>
      </c>
      <c r="AC14" s="3">
        <v>12.31</v>
      </c>
      <c r="AD14" s="6">
        <v>13.85</v>
      </c>
      <c r="AE14" s="2">
        <v>12.79</v>
      </c>
      <c r="AF14" s="3">
        <v>12</v>
      </c>
    </row>
    <row r="15" spans="1:32" ht="15" thickBot="1" x14ac:dyDescent="0.4">
      <c r="A15" s="59"/>
      <c r="B15" s="24">
        <v>10</v>
      </c>
      <c r="C15" s="6">
        <v>12.4</v>
      </c>
      <c r="D15" s="2">
        <v>11.97</v>
      </c>
      <c r="E15" s="3">
        <v>11.32</v>
      </c>
      <c r="F15" s="6">
        <v>14.77</v>
      </c>
      <c r="G15" s="2">
        <v>13.33</v>
      </c>
      <c r="H15" s="3">
        <v>14.12</v>
      </c>
      <c r="I15" s="6">
        <v>13.39</v>
      </c>
      <c r="J15" s="2">
        <v>12</v>
      </c>
      <c r="K15" s="3">
        <v>12.85</v>
      </c>
      <c r="L15" s="6">
        <v>13.19</v>
      </c>
      <c r="M15" s="2">
        <v>12.6</v>
      </c>
      <c r="N15" s="3">
        <v>14.87</v>
      </c>
      <c r="O15" s="6">
        <v>13.61</v>
      </c>
      <c r="P15" s="2">
        <v>12.11</v>
      </c>
      <c r="Q15" s="3">
        <v>11.95</v>
      </c>
      <c r="R15" s="6">
        <v>12.83</v>
      </c>
      <c r="S15" s="2">
        <v>14.34</v>
      </c>
      <c r="T15" s="3">
        <v>13.71</v>
      </c>
      <c r="U15" s="6">
        <v>12.81</v>
      </c>
      <c r="V15" s="2">
        <v>13.41</v>
      </c>
      <c r="W15" s="3">
        <v>13.66</v>
      </c>
      <c r="X15" s="6">
        <v>14.47</v>
      </c>
      <c r="Y15" s="2">
        <v>16.18</v>
      </c>
      <c r="Z15" s="3">
        <v>16.190000000000001</v>
      </c>
      <c r="AA15" s="6">
        <v>10.63</v>
      </c>
      <c r="AB15" s="2">
        <v>10.67</v>
      </c>
      <c r="AC15" s="3">
        <v>11.67</v>
      </c>
      <c r="AD15" s="6">
        <v>13.64</v>
      </c>
      <c r="AE15" s="2">
        <v>13.36</v>
      </c>
      <c r="AF15" s="3">
        <v>12.47</v>
      </c>
    </row>
    <row r="16" spans="1:32" ht="15" thickBot="1" x14ac:dyDescent="0.4">
      <c r="A16" s="60"/>
      <c r="B16" s="24">
        <v>100</v>
      </c>
      <c r="C16" s="7">
        <v>13.46</v>
      </c>
      <c r="D16" s="4">
        <v>13.81</v>
      </c>
      <c r="E16" s="5">
        <v>14.32</v>
      </c>
      <c r="F16" s="7">
        <v>14.8</v>
      </c>
      <c r="G16" s="4">
        <v>14.58</v>
      </c>
      <c r="H16" s="5">
        <v>14.52</v>
      </c>
      <c r="I16" s="7">
        <v>12.53</v>
      </c>
      <c r="J16" s="4">
        <v>12.38</v>
      </c>
      <c r="K16" s="5">
        <v>12.96</v>
      </c>
      <c r="L16" s="7">
        <v>12.39</v>
      </c>
      <c r="M16" s="4">
        <v>12.4</v>
      </c>
      <c r="N16" s="5">
        <v>14.71</v>
      </c>
      <c r="O16" s="7">
        <v>13.97</v>
      </c>
      <c r="P16" s="4">
        <v>12.84</v>
      </c>
      <c r="Q16" s="5">
        <v>14.25</v>
      </c>
      <c r="R16" s="7">
        <v>13.87</v>
      </c>
      <c r="S16" s="4">
        <v>14.64</v>
      </c>
      <c r="T16" s="5">
        <v>14.2</v>
      </c>
      <c r="U16" s="7">
        <v>12.24</v>
      </c>
      <c r="V16" s="4">
        <v>13.87</v>
      </c>
      <c r="W16" s="5">
        <v>13.45</v>
      </c>
      <c r="X16" s="7">
        <v>15.72</v>
      </c>
      <c r="Y16" s="4">
        <v>11.55</v>
      </c>
      <c r="Z16" s="5">
        <v>15.15</v>
      </c>
      <c r="AA16" s="7">
        <v>12.17</v>
      </c>
      <c r="AB16" s="4">
        <v>11.63</v>
      </c>
      <c r="AC16" s="5">
        <v>12.69</v>
      </c>
      <c r="AD16" s="7">
        <v>13.27</v>
      </c>
      <c r="AE16" s="4">
        <v>13.81</v>
      </c>
      <c r="AF16" s="5">
        <v>12.57</v>
      </c>
    </row>
    <row r="17" spans="1:32" ht="15" thickBot="1" x14ac:dyDescent="0.4"/>
    <row r="18" spans="1:32" ht="15" thickBot="1" x14ac:dyDescent="0.4">
      <c r="C18" s="49" t="s">
        <v>19</v>
      </c>
      <c r="D18" s="50"/>
      <c r="E18" s="50"/>
      <c r="F18" s="50"/>
      <c r="G18" s="50"/>
      <c r="H18" s="50"/>
      <c r="I18" s="50"/>
      <c r="J18" s="50"/>
      <c r="K18" s="50"/>
      <c r="L18" s="50"/>
      <c r="M18" s="50"/>
      <c r="N18" s="50"/>
      <c r="O18" s="50"/>
      <c r="P18" s="50"/>
      <c r="Q18" s="51"/>
      <c r="R18" s="52" t="s">
        <v>17</v>
      </c>
      <c r="S18" s="53"/>
      <c r="T18" s="53"/>
      <c r="U18" s="53"/>
      <c r="V18" s="53"/>
      <c r="W18" s="53"/>
      <c r="X18" s="53"/>
      <c r="Y18" s="53"/>
      <c r="Z18" s="53"/>
      <c r="AA18" s="53"/>
      <c r="AB18" s="53"/>
      <c r="AC18" s="53"/>
      <c r="AD18" s="53"/>
      <c r="AE18" s="53"/>
      <c r="AF18" s="54"/>
    </row>
    <row r="19" spans="1:32" ht="15" thickBot="1" x14ac:dyDescent="0.4">
      <c r="C19" s="55" t="s">
        <v>5</v>
      </c>
      <c r="D19" s="56"/>
      <c r="E19" s="57"/>
      <c r="F19" s="55" t="s">
        <v>6</v>
      </c>
      <c r="G19" s="56"/>
      <c r="H19" s="57"/>
      <c r="I19" s="55" t="s">
        <v>7</v>
      </c>
      <c r="J19" s="56"/>
      <c r="K19" s="57"/>
      <c r="L19" s="55" t="s">
        <v>8</v>
      </c>
      <c r="M19" s="56"/>
      <c r="N19" s="57"/>
      <c r="O19" s="55" t="s">
        <v>9</v>
      </c>
      <c r="P19" s="56"/>
      <c r="Q19" s="57"/>
      <c r="R19" s="55" t="s">
        <v>10</v>
      </c>
      <c r="S19" s="56"/>
      <c r="T19" s="57"/>
      <c r="U19" s="55" t="s">
        <v>11</v>
      </c>
      <c r="V19" s="56"/>
      <c r="W19" s="57"/>
      <c r="X19" s="55" t="s">
        <v>12</v>
      </c>
      <c r="Y19" s="56"/>
      <c r="Z19" s="57"/>
      <c r="AA19" s="55" t="s">
        <v>13</v>
      </c>
      <c r="AB19" s="56"/>
      <c r="AC19" s="57"/>
      <c r="AD19" s="55" t="s">
        <v>14</v>
      </c>
      <c r="AE19" s="56"/>
      <c r="AF19" s="57"/>
    </row>
    <row r="20" spans="1:32" ht="15" thickBot="1" x14ac:dyDescent="0.4">
      <c r="A20" s="58" t="s">
        <v>2</v>
      </c>
      <c r="B20" s="24">
        <v>0</v>
      </c>
      <c r="C20" s="25">
        <v>11.31</v>
      </c>
      <c r="D20" s="26">
        <v>12.24</v>
      </c>
      <c r="E20" s="27">
        <v>11.07</v>
      </c>
      <c r="F20" s="25">
        <v>8.75</v>
      </c>
      <c r="G20" s="26">
        <v>8.5500000000000007</v>
      </c>
      <c r="H20" s="27">
        <v>9.33</v>
      </c>
      <c r="I20" s="25">
        <v>10.01</v>
      </c>
      <c r="J20" s="26">
        <v>8.83</v>
      </c>
      <c r="K20" s="27">
        <v>9.33</v>
      </c>
      <c r="L20" s="25">
        <v>9.85</v>
      </c>
      <c r="M20" s="26">
        <v>9.85</v>
      </c>
      <c r="N20" s="27">
        <v>9.89</v>
      </c>
      <c r="O20" s="25">
        <v>9.0399999999999991</v>
      </c>
      <c r="P20" s="26">
        <v>8.1199999999999992</v>
      </c>
      <c r="Q20" s="27">
        <v>8.51</v>
      </c>
      <c r="R20" s="25">
        <v>10.24</v>
      </c>
      <c r="S20" s="26">
        <v>12.24</v>
      </c>
      <c r="T20" s="27">
        <v>11.07</v>
      </c>
      <c r="U20" s="25">
        <v>8.64</v>
      </c>
      <c r="V20" s="26">
        <v>9.25</v>
      </c>
      <c r="W20" s="27">
        <v>9.16</v>
      </c>
      <c r="X20" s="25">
        <v>13.75</v>
      </c>
      <c r="Y20" s="26">
        <v>13.54</v>
      </c>
      <c r="Z20" s="27">
        <v>14.49</v>
      </c>
      <c r="AA20" s="25">
        <v>8.7200000000000006</v>
      </c>
      <c r="AB20" s="26">
        <v>8.67</v>
      </c>
      <c r="AC20" s="27">
        <v>9.0299999999999994</v>
      </c>
      <c r="AD20" s="25">
        <v>11.78</v>
      </c>
      <c r="AE20" s="26">
        <v>10.79</v>
      </c>
      <c r="AF20" s="27">
        <v>11.32</v>
      </c>
    </row>
    <row r="21" spans="1:32" ht="15" thickBot="1" x14ac:dyDescent="0.4">
      <c r="A21" s="59"/>
      <c r="B21" s="24">
        <v>0.1</v>
      </c>
      <c r="C21" s="6">
        <v>6.15</v>
      </c>
      <c r="D21" s="2">
        <v>6.93</v>
      </c>
      <c r="E21" s="3">
        <v>5.98</v>
      </c>
      <c r="F21" s="6">
        <v>7.22</v>
      </c>
      <c r="G21" s="2">
        <v>6.65</v>
      </c>
      <c r="H21" s="3">
        <v>7.59</v>
      </c>
      <c r="I21" s="6">
        <v>6.53</v>
      </c>
      <c r="J21" s="2">
        <v>5.15</v>
      </c>
      <c r="K21" s="3">
        <v>5.75</v>
      </c>
      <c r="L21" s="6">
        <v>6.81</v>
      </c>
      <c r="M21" s="2">
        <v>4.8899999999999997</v>
      </c>
      <c r="N21" s="3">
        <v>6.07</v>
      </c>
      <c r="O21" s="6">
        <v>4.84</v>
      </c>
      <c r="P21" s="2">
        <v>4.2699999999999996</v>
      </c>
      <c r="Q21" s="3">
        <v>4.55</v>
      </c>
      <c r="R21" s="6">
        <v>5.41</v>
      </c>
      <c r="S21" s="2">
        <v>6.93</v>
      </c>
      <c r="T21" s="3">
        <v>5.98</v>
      </c>
      <c r="U21" s="6">
        <v>6.83</v>
      </c>
      <c r="V21" s="2">
        <v>6.57</v>
      </c>
      <c r="W21" s="3">
        <v>6.25</v>
      </c>
      <c r="X21" s="6">
        <v>14.17</v>
      </c>
      <c r="Y21" s="2">
        <v>14.53</v>
      </c>
      <c r="Z21" s="3">
        <v>12.73</v>
      </c>
      <c r="AA21" s="6">
        <v>5.58</v>
      </c>
      <c r="AB21" s="2">
        <v>5.53</v>
      </c>
      <c r="AC21" s="3">
        <v>5.38</v>
      </c>
      <c r="AD21" s="6">
        <v>7.96</v>
      </c>
      <c r="AE21" s="2">
        <v>7.26</v>
      </c>
      <c r="AF21" s="3">
        <v>7.91</v>
      </c>
    </row>
    <row r="22" spans="1:32" ht="15" thickBot="1" x14ac:dyDescent="0.4">
      <c r="A22" s="59"/>
      <c r="B22" s="24">
        <v>1</v>
      </c>
      <c r="C22" s="6">
        <v>4.79</v>
      </c>
      <c r="D22" s="2">
        <v>5.46</v>
      </c>
      <c r="E22" s="3">
        <v>5.08</v>
      </c>
      <c r="F22" s="6">
        <v>6.01</v>
      </c>
      <c r="G22" s="2">
        <v>5.21</v>
      </c>
      <c r="H22" s="3">
        <v>6.18</v>
      </c>
      <c r="I22" s="6">
        <v>5.8</v>
      </c>
      <c r="J22" s="2">
        <v>4.3099999999999996</v>
      </c>
      <c r="K22" s="3">
        <v>5.7</v>
      </c>
      <c r="L22" s="6">
        <v>5.72</v>
      </c>
      <c r="M22" s="2">
        <v>3.98</v>
      </c>
      <c r="N22" s="3">
        <v>4.38</v>
      </c>
      <c r="O22" s="6">
        <v>4.0199999999999996</v>
      </c>
      <c r="P22" s="2">
        <v>4.1500000000000004</v>
      </c>
      <c r="Q22" s="3">
        <v>3.67</v>
      </c>
      <c r="R22" s="6">
        <v>5.62</v>
      </c>
      <c r="S22" s="2">
        <v>5.46</v>
      </c>
      <c r="T22" s="3">
        <v>5.08</v>
      </c>
      <c r="U22" s="6">
        <v>6.18</v>
      </c>
      <c r="V22" s="2">
        <v>6.46</v>
      </c>
      <c r="W22" s="3">
        <v>5.78</v>
      </c>
      <c r="X22" s="6">
        <v>12.17</v>
      </c>
      <c r="Y22" s="2">
        <v>12.2</v>
      </c>
      <c r="Z22" s="3">
        <v>15.07</v>
      </c>
      <c r="AA22" s="6">
        <v>4.8</v>
      </c>
      <c r="AB22" s="2">
        <v>4.68</v>
      </c>
      <c r="AC22" s="3">
        <v>4.49</v>
      </c>
      <c r="AD22" s="6">
        <v>6.83</v>
      </c>
      <c r="AE22" s="2">
        <v>5.95</v>
      </c>
      <c r="AF22" s="3">
        <v>6.71</v>
      </c>
    </row>
    <row r="23" spans="1:32" ht="15" thickBot="1" x14ac:dyDescent="0.4">
      <c r="A23" s="59"/>
      <c r="B23" s="24">
        <v>10</v>
      </c>
      <c r="C23" s="6">
        <v>5.1100000000000003</v>
      </c>
      <c r="D23" s="2">
        <v>6.15</v>
      </c>
      <c r="E23" s="3">
        <v>5.37</v>
      </c>
      <c r="F23" s="6">
        <v>4.8</v>
      </c>
      <c r="G23" s="2">
        <v>4.32</v>
      </c>
      <c r="H23" s="3">
        <v>5.24</v>
      </c>
      <c r="I23" s="6">
        <v>5.45</v>
      </c>
      <c r="J23" s="2">
        <v>4.28</v>
      </c>
      <c r="K23" s="3">
        <v>4.8099999999999996</v>
      </c>
      <c r="L23" s="6">
        <v>5.38</v>
      </c>
      <c r="M23" s="2">
        <v>3.73</v>
      </c>
      <c r="N23" s="3">
        <v>4.9400000000000004</v>
      </c>
      <c r="O23" s="6">
        <v>4.6399999999999997</v>
      </c>
      <c r="P23" s="2">
        <v>3.41</v>
      </c>
      <c r="Q23" s="3">
        <v>3.49</v>
      </c>
      <c r="R23" s="6">
        <v>4.84</v>
      </c>
      <c r="S23" s="2">
        <v>6.15</v>
      </c>
      <c r="T23" s="3">
        <v>5.37</v>
      </c>
      <c r="U23" s="6">
        <v>4.76</v>
      </c>
      <c r="V23" s="2">
        <v>5.31</v>
      </c>
      <c r="W23" s="3">
        <v>4.67</v>
      </c>
      <c r="X23" s="6">
        <v>10.86</v>
      </c>
      <c r="Y23" s="2">
        <v>11</v>
      </c>
      <c r="Z23" s="3">
        <v>10.68</v>
      </c>
      <c r="AA23" s="6">
        <v>3.95</v>
      </c>
      <c r="AB23" s="2">
        <v>4.4800000000000004</v>
      </c>
      <c r="AC23" s="3">
        <v>4.2699999999999996</v>
      </c>
      <c r="AD23" s="6">
        <v>5.74</v>
      </c>
      <c r="AE23" s="2">
        <v>5.19</v>
      </c>
      <c r="AF23" s="3">
        <v>6.29</v>
      </c>
    </row>
    <row r="24" spans="1:32" ht="15" thickBot="1" x14ac:dyDescent="0.4">
      <c r="A24" s="60"/>
      <c r="B24" s="24">
        <v>100</v>
      </c>
      <c r="C24" s="7">
        <v>5.33</v>
      </c>
      <c r="D24" s="4">
        <v>5.76</v>
      </c>
      <c r="E24" s="5">
        <v>5.14</v>
      </c>
      <c r="F24" s="7">
        <v>4.8</v>
      </c>
      <c r="G24" s="4">
        <v>4.62</v>
      </c>
      <c r="H24" s="5">
        <v>5.2</v>
      </c>
      <c r="I24" s="7">
        <v>5.63</v>
      </c>
      <c r="J24" s="4">
        <v>4.29</v>
      </c>
      <c r="K24" s="5">
        <v>4.84</v>
      </c>
      <c r="L24" s="7">
        <v>5.33</v>
      </c>
      <c r="M24" s="4">
        <v>3.85</v>
      </c>
      <c r="N24" s="5">
        <v>4.95</v>
      </c>
      <c r="O24" s="7">
        <v>4.87</v>
      </c>
      <c r="P24" s="4">
        <v>3.64</v>
      </c>
      <c r="Q24" s="5">
        <v>4.83</v>
      </c>
      <c r="R24" s="7">
        <v>4.6100000000000003</v>
      </c>
      <c r="S24" s="4">
        <v>5.76</v>
      </c>
      <c r="T24" s="5">
        <v>5.14</v>
      </c>
      <c r="U24" s="7">
        <v>4.43</v>
      </c>
      <c r="V24" s="4">
        <v>4.97</v>
      </c>
      <c r="W24" s="5">
        <v>4.83</v>
      </c>
      <c r="X24" s="7">
        <v>10.32</v>
      </c>
      <c r="Y24" s="4">
        <v>9.4700000000000006</v>
      </c>
      <c r="Z24" s="5">
        <v>10.39</v>
      </c>
      <c r="AA24" s="7">
        <v>4.09</v>
      </c>
      <c r="AB24" s="4">
        <v>4.8099999999999996</v>
      </c>
      <c r="AC24" s="5">
        <v>4.58</v>
      </c>
      <c r="AD24" s="7">
        <v>5.88</v>
      </c>
      <c r="AE24" s="4">
        <v>5.27</v>
      </c>
      <c r="AF24" s="5">
        <v>6.21</v>
      </c>
    </row>
    <row r="25" spans="1:32" ht="15" thickBot="1" x14ac:dyDescent="0.4"/>
    <row r="26" spans="1:32" ht="15" thickBot="1" x14ac:dyDescent="0.4">
      <c r="C26" s="49" t="s">
        <v>19</v>
      </c>
      <c r="D26" s="50"/>
      <c r="E26" s="50"/>
      <c r="F26" s="50"/>
      <c r="G26" s="50"/>
      <c r="H26" s="50"/>
      <c r="I26" s="50"/>
      <c r="J26" s="50"/>
      <c r="K26" s="50"/>
      <c r="L26" s="50"/>
      <c r="M26" s="50"/>
      <c r="N26" s="50"/>
      <c r="O26" s="50"/>
      <c r="P26" s="50"/>
      <c r="Q26" s="51"/>
      <c r="R26" s="52" t="s">
        <v>17</v>
      </c>
      <c r="S26" s="53"/>
      <c r="T26" s="53"/>
      <c r="U26" s="53"/>
      <c r="V26" s="53"/>
      <c r="W26" s="53"/>
      <c r="X26" s="53"/>
      <c r="Y26" s="53"/>
      <c r="Z26" s="53"/>
      <c r="AA26" s="53"/>
      <c r="AB26" s="53"/>
      <c r="AC26" s="53"/>
      <c r="AD26" s="53"/>
      <c r="AE26" s="53"/>
      <c r="AF26" s="54"/>
    </row>
    <row r="27" spans="1:32" ht="15" thickBot="1" x14ac:dyDescent="0.4">
      <c r="C27" s="55" t="s">
        <v>5</v>
      </c>
      <c r="D27" s="56"/>
      <c r="E27" s="57"/>
      <c r="F27" s="55" t="s">
        <v>6</v>
      </c>
      <c r="G27" s="56"/>
      <c r="H27" s="57"/>
      <c r="I27" s="55" t="s">
        <v>7</v>
      </c>
      <c r="J27" s="56"/>
      <c r="K27" s="57"/>
      <c r="L27" s="55" t="s">
        <v>8</v>
      </c>
      <c r="M27" s="56"/>
      <c r="N27" s="57"/>
      <c r="O27" s="55" t="s">
        <v>9</v>
      </c>
      <c r="P27" s="56"/>
      <c r="Q27" s="57"/>
      <c r="R27" s="55" t="s">
        <v>10</v>
      </c>
      <c r="S27" s="56"/>
      <c r="T27" s="57"/>
      <c r="U27" s="55" t="s">
        <v>11</v>
      </c>
      <c r="V27" s="56"/>
      <c r="W27" s="57"/>
      <c r="X27" s="55" t="s">
        <v>12</v>
      </c>
      <c r="Y27" s="56"/>
      <c r="Z27" s="57"/>
      <c r="AA27" s="55" t="s">
        <v>13</v>
      </c>
      <c r="AB27" s="56"/>
      <c r="AC27" s="57"/>
      <c r="AD27" s="55" t="s">
        <v>14</v>
      </c>
      <c r="AE27" s="56"/>
      <c r="AF27" s="57"/>
    </row>
    <row r="28" spans="1:32" ht="15" thickBot="1" x14ac:dyDescent="0.4">
      <c r="A28" s="58" t="s">
        <v>3</v>
      </c>
      <c r="B28" s="24">
        <v>0</v>
      </c>
      <c r="C28" s="25">
        <v>10.57</v>
      </c>
      <c r="D28" s="26">
        <v>11.92</v>
      </c>
      <c r="E28" s="27">
        <v>10.14</v>
      </c>
      <c r="F28" s="25">
        <v>10.66</v>
      </c>
      <c r="G28" s="26">
        <v>10.69</v>
      </c>
      <c r="H28" s="27">
        <v>10.46</v>
      </c>
      <c r="I28" s="25">
        <v>10.09</v>
      </c>
      <c r="J28" s="26">
        <v>9.61</v>
      </c>
      <c r="K28" s="27">
        <v>9.68</v>
      </c>
      <c r="L28" s="25">
        <v>11.9</v>
      </c>
      <c r="M28" s="26">
        <v>11.68</v>
      </c>
      <c r="N28" s="27">
        <v>12.15</v>
      </c>
      <c r="O28" s="25">
        <v>12.56</v>
      </c>
      <c r="P28" s="26">
        <v>11.57</v>
      </c>
      <c r="Q28" s="27">
        <v>12.77</v>
      </c>
      <c r="R28" s="25">
        <v>9.73</v>
      </c>
      <c r="S28" s="26">
        <v>11.92</v>
      </c>
      <c r="T28" s="27">
        <v>10.14</v>
      </c>
      <c r="U28" s="25">
        <v>11.63</v>
      </c>
      <c r="V28" s="26">
        <v>10.35</v>
      </c>
      <c r="W28" s="27">
        <v>10.09</v>
      </c>
      <c r="X28" s="25">
        <v>14.99</v>
      </c>
      <c r="Y28" s="26">
        <v>15.37</v>
      </c>
      <c r="Z28" s="27">
        <v>14.5</v>
      </c>
      <c r="AA28" s="25">
        <v>10.84</v>
      </c>
      <c r="AB28" s="26">
        <v>10.23</v>
      </c>
      <c r="AC28" s="27">
        <v>10.44</v>
      </c>
      <c r="AD28" s="25">
        <v>11.11</v>
      </c>
      <c r="AE28" s="26">
        <v>11.31</v>
      </c>
      <c r="AF28" s="27">
        <v>10.58</v>
      </c>
    </row>
    <row r="29" spans="1:32" ht="15" thickBot="1" x14ac:dyDescent="0.4">
      <c r="A29" s="59"/>
      <c r="B29" s="24">
        <v>0.1</v>
      </c>
      <c r="C29" s="6">
        <v>8.6199999999999992</v>
      </c>
      <c r="D29" s="2">
        <v>9.4499999999999993</v>
      </c>
      <c r="E29" s="3">
        <v>8.1999999999999993</v>
      </c>
      <c r="F29" s="6">
        <v>9.81</v>
      </c>
      <c r="G29" s="2">
        <v>10.06</v>
      </c>
      <c r="H29" s="3">
        <v>9.73</v>
      </c>
      <c r="I29" s="6">
        <v>8</v>
      </c>
      <c r="J29" s="2">
        <v>7.03</v>
      </c>
      <c r="K29" s="3">
        <v>7.41</v>
      </c>
      <c r="L29" s="6">
        <v>10.4</v>
      </c>
      <c r="M29" s="2">
        <v>8.2799999999999994</v>
      </c>
      <c r="N29" s="3">
        <v>9.8699999999999992</v>
      </c>
      <c r="O29" s="6">
        <v>9.2100000000000009</v>
      </c>
      <c r="P29" s="2">
        <v>8.75</v>
      </c>
      <c r="Q29" s="3">
        <v>10.09</v>
      </c>
      <c r="R29" s="6">
        <v>7.75</v>
      </c>
      <c r="S29" s="2">
        <v>9.4499999999999993</v>
      </c>
      <c r="T29" s="3">
        <v>8.1999999999999993</v>
      </c>
      <c r="U29" s="6">
        <v>11.12</v>
      </c>
      <c r="V29" s="2">
        <v>10.59</v>
      </c>
      <c r="W29" s="3">
        <v>9.6</v>
      </c>
      <c r="X29" s="6">
        <v>15.47</v>
      </c>
      <c r="Y29" s="2">
        <v>16.940000000000001</v>
      </c>
      <c r="Z29" s="3">
        <v>15.67</v>
      </c>
      <c r="AA29" s="6">
        <v>8.2799999999999994</v>
      </c>
      <c r="AB29" s="2">
        <v>7.75</v>
      </c>
      <c r="AC29" s="3">
        <v>8.2200000000000006</v>
      </c>
      <c r="AD29" s="6">
        <v>10.14</v>
      </c>
      <c r="AE29" s="2">
        <v>10.55</v>
      </c>
      <c r="AF29" s="3">
        <v>9.84</v>
      </c>
    </row>
    <row r="30" spans="1:32" ht="15" thickBot="1" x14ac:dyDescent="0.4">
      <c r="A30" s="59"/>
      <c r="B30" s="24">
        <v>1</v>
      </c>
      <c r="C30" s="6">
        <v>7.61</v>
      </c>
      <c r="D30" s="2">
        <v>8.3699999999999992</v>
      </c>
      <c r="E30" s="3">
        <v>7.45</v>
      </c>
      <c r="F30" s="6">
        <v>8.92</v>
      </c>
      <c r="G30" s="2">
        <v>8.6999999999999993</v>
      </c>
      <c r="H30" s="3">
        <v>8.64</v>
      </c>
      <c r="I30" s="6">
        <v>7.5</v>
      </c>
      <c r="J30" s="2">
        <v>6.5</v>
      </c>
      <c r="K30" s="3">
        <v>7.28</v>
      </c>
      <c r="L30" s="6">
        <v>9.64</v>
      </c>
      <c r="M30" s="2">
        <v>7.79</v>
      </c>
      <c r="N30" s="3">
        <v>8.5299999999999994</v>
      </c>
      <c r="O30" s="6">
        <v>8.3699999999999992</v>
      </c>
      <c r="P30" s="2">
        <v>8.98</v>
      </c>
      <c r="Q30" s="3">
        <v>9.32</v>
      </c>
      <c r="R30" s="6">
        <v>8.65</v>
      </c>
      <c r="S30" s="2">
        <v>8.3699999999999992</v>
      </c>
      <c r="T30" s="3">
        <v>7.45</v>
      </c>
      <c r="U30" s="6">
        <v>10.23</v>
      </c>
      <c r="V30" s="2">
        <v>9.56</v>
      </c>
      <c r="W30" s="3">
        <v>8.5</v>
      </c>
      <c r="X30" s="6">
        <v>15.36</v>
      </c>
      <c r="Y30" s="2">
        <v>14.1</v>
      </c>
      <c r="Z30" s="3">
        <v>15.47</v>
      </c>
      <c r="AA30" s="6">
        <v>7.85</v>
      </c>
      <c r="AB30" s="2">
        <v>7.17</v>
      </c>
      <c r="AC30" s="3">
        <v>7.32</v>
      </c>
      <c r="AD30" s="6">
        <v>9.27</v>
      </c>
      <c r="AE30" s="2">
        <v>9.68</v>
      </c>
      <c r="AF30" s="3">
        <v>8.94</v>
      </c>
    </row>
    <row r="31" spans="1:32" ht="15" thickBot="1" x14ac:dyDescent="0.4">
      <c r="A31" s="59"/>
      <c r="B31" s="24">
        <v>10</v>
      </c>
      <c r="C31" s="6">
        <v>8.2200000000000006</v>
      </c>
      <c r="D31" s="2">
        <v>8.14</v>
      </c>
      <c r="E31" s="3">
        <v>8.41</v>
      </c>
      <c r="F31" s="6">
        <v>8.25</v>
      </c>
      <c r="G31" s="2">
        <v>8.32</v>
      </c>
      <c r="H31" s="3">
        <v>8.5</v>
      </c>
      <c r="I31" s="6">
        <v>7.61</v>
      </c>
      <c r="J31" s="2">
        <v>6.74</v>
      </c>
      <c r="K31" s="3">
        <v>6.84</v>
      </c>
      <c r="L31" s="6">
        <v>9.73</v>
      </c>
      <c r="M31" s="2">
        <v>8.26</v>
      </c>
      <c r="N31" s="3">
        <v>9.64</v>
      </c>
      <c r="O31" s="6">
        <v>9.73</v>
      </c>
      <c r="P31" s="2">
        <v>8.9499999999999993</v>
      </c>
      <c r="Q31" s="3">
        <v>9.99</v>
      </c>
      <c r="R31" s="6">
        <v>8.0500000000000007</v>
      </c>
      <c r="S31" s="2">
        <v>8.14</v>
      </c>
      <c r="T31" s="3">
        <v>8.41</v>
      </c>
      <c r="U31" s="6">
        <v>9.08</v>
      </c>
      <c r="V31" s="2">
        <v>8.8000000000000007</v>
      </c>
      <c r="W31" s="3">
        <v>7.81</v>
      </c>
      <c r="X31" s="6">
        <v>13.61</v>
      </c>
      <c r="Y31" s="2">
        <v>14.47</v>
      </c>
      <c r="Z31" s="3">
        <v>13.98</v>
      </c>
      <c r="AA31" s="6">
        <v>7.26</v>
      </c>
      <c r="AB31" s="2">
        <v>7.26</v>
      </c>
      <c r="AC31" s="3">
        <v>7.56</v>
      </c>
      <c r="AD31" s="6">
        <v>8.61</v>
      </c>
      <c r="AE31" s="2">
        <v>9.3000000000000007</v>
      </c>
      <c r="AF31" s="3">
        <v>8.92</v>
      </c>
    </row>
    <row r="32" spans="1:32" ht="15" thickBot="1" x14ac:dyDescent="0.4">
      <c r="A32" s="60"/>
      <c r="B32" s="24">
        <v>100</v>
      </c>
      <c r="C32" s="7">
        <v>8.69</v>
      </c>
      <c r="D32" s="4">
        <v>9.2899999999999991</v>
      </c>
      <c r="E32" s="5">
        <v>8.19</v>
      </c>
      <c r="F32" s="7">
        <v>8.4700000000000006</v>
      </c>
      <c r="G32" s="4">
        <v>9.08</v>
      </c>
      <c r="H32" s="5">
        <v>8.4700000000000006</v>
      </c>
      <c r="I32" s="7">
        <v>8.11</v>
      </c>
      <c r="J32" s="4">
        <v>7.12</v>
      </c>
      <c r="K32" s="5">
        <v>7.25</v>
      </c>
      <c r="L32" s="7">
        <v>10.039999999999999</v>
      </c>
      <c r="M32" s="4">
        <v>8.2799999999999994</v>
      </c>
      <c r="N32" s="5">
        <v>9.8000000000000007</v>
      </c>
      <c r="O32" s="7">
        <v>9.84</v>
      </c>
      <c r="P32" s="4">
        <v>8.91</v>
      </c>
      <c r="Q32" s="5">
        <v>10.9</v>
      </c>
      <c r="R32" s="7">
        <v>7.99</v>
      </c>
      <c r="S32" s="4">
        <v>9.2899999999999991</v>
      </c>
      <c r="T32" s="5">
        <v>8.19</v>
      </c>
      <c r="U32" s="7">
        <v>9.19</v>
      </c>
      <c r="V32" s="4">
        <v>8.9600000000000009</v>
      </c>
      <c r="W32" s="5">
        <v>8.48</v>
      </c>
      <c r="X32" s="7">
        <v>13.93</v>
      </c>
      <c r="Y32" s="4">
        <v>11.62</v>
      </c>
      <c r="Z32" s="5">
        <v>13.1</v>
      </c>
      <c r="AA32" s="7">
        <v>7.81</v>
      </c>
      <c r="AB32" s="4">
        <v>8.14</v>
      </c>
      <c r="AC32" s="5">
        <v>7.82</v>
      </c>
      <c r="AD32" s="7">
        <v>8.9499999999999993</v>
      </c>
      <c r="AE32" s="4">
        <v>9.51</v>
      </c>
      <c r="AF32" s="5">
        <v>9.27</v>
      </c>
    </row>
    <row r="33" spans="1:32" ht="15" thickBot="1" x14ac:dyDescent="0.4"/>
    <row r="34" spans="1:32" ht="15" thickBot="1" x14ac:dyDescent="0.4">
      <c r="C34" s="49" t="s">
        <v>19</v>
      </c>
      <c r="D34" s="50"/>
      <c r="E34" s="50"/>
      <c r="F34" s="50"/>
      <c r="G34" s="50"/>
      <c r="H34" s="50"/>
      <c r="I34" s="50"/>
      <c r="J34" s="50"/>
      <c r="K34" s="50"/>
      <c r="L34" s="50"/>
      <c r="M34" s="50"/>
      <c r="N34" s="50"/>
      <c r="O34" s="50"/>
      <c r="P34" s="50"/>
      <c r="Q34" s="51"/>
      <c r="R34" s="52" t="s">
        <v>17</v>
      </c>
      <c r="S34" s="53"/>
      <c r="T34" s="53"/>
      <c r="U34" s="53"/>
      <c r="V34" s="53"/>
      <c r="W34" s="53"/>
      <c r="X34" s="53"/>
      <c r="Y34" s="53"/>
      <c r="Z34" s="53"/>
      <c r="AA34" s="53"/>
      <c r="AB34" s="53"/>
      <c r="AC34" s="53"/>
      <c r="AD34" s="53"/>
      <c r="AE34" s="53"/>
      <c r="AF34" s="54"/>
    </row>
    <row r="35" spans="1:32" ht="15" thickBot="1" x14ac:dyDescent="0.4">
      <c r="C35" s="55" t="s">
        <v>5</v>
      </c>
      <c r="D35" s="56"/>
      <c r="E35" s="57"/>
      <c r="F35" s="55" t="s">
        <v>6</v>
      </c>
      <c r="G35" s="56"/>
      <c r="H35" s="57"/>
      <c r="I35" s="55" t="s">
        <v>7</v>
      </c>
      <c r="J35" s="56"/>
      <c r="K35" s="57"/>
      <c r="L35" s="55" t="s">
        <v>8</v>
      </c>
      <c r="M35" s="56"/>
      <c r="N35" s="57"/>
      <c r="O35" s="55" t="s">
        <v>9</v>
      </c>
      <c r="P35" s="56"/>
      <c r="Q35" s="57"/>
      <c r="R35" s="55" t="s">
        <v>10</v>
      </c>
      <c r="S35" s="56"/>
      <c r="T35" s="57"/>
      <c r="U35" s="55" t="s">
        <v>11</v>
      </c>
      <c r="V35" s="56"/>
      <c r="W35" s="57"/>
      <c r="X35" s="55" t="s">
        <v>12</v>
      </c>
      <c r="Y35" s="56"/>
      <c r="Z35" s="57"/>
      <c r="AA35" s="55" t="s">
        <v>13</v>
      </c>
      <c r="AB35" s="56"/>
      <c r="AC35" s="57"/>
      <c r="AD35" s="55" t="s">
        <v>14</v>
      </c>
      <c r="AE35" s="56"/>
      <c r="AF35" s="57"/>
    </row>
    <row r="36" spans="1:32" ht="15" thickBot="1" x14ac:dyDescent="0.4">
      <c r="A36" s="58" t="s">
        <v>4</v>
      </c>
      <c r="B36" s="24">
        <v>0</v>
      </c>
      <c r="C36" s="25">
        <v>3.04</v>
      </c>
      <c r="D36" s="26">
        <v>3.4</v>
      </c>
      <c r="E36" s="27">
        <v>4.37</v>
      </c>
      <c r="F36" s="25">
        <v>2.42</v>
      </c>
      <c r="G36" s="26">
        <v>2.5</v>
      </c>
      <c r="H36" s="27">
        <v>2.77</v>
      </c>
      <c r="I36" s="25">
        <v>2.73</v>
      </c>
      <c r="J36" s="26">
        <v>2.25</v>
      </c>
      <c r="K36" s="27">
        <v>2.29</v>
      </c>
      <c r="L36" s="25">
        <v>2.96</v>
      </c>
      <c r="M36" s="26">
        <v>2.42</v>
      </c>
      <c r="N36" s="27">
        <v>3.3</v>
      </c>
      <c r="O36" s="25">
        <v>2.93</v>
      </c>
      <c r="P36" s="26">
        <v>2.12</v>
      </c>
      <c r="Q36" s="27">
        <v>2.83</v>
      </c>
      <c r="R36" s="25">
        <v>3.2</v>
      </c>
      <c r="S36" s="26">
        <v>5.53</v>
      </c>
      <c r="T36" s="27">
        <v>3.3</v>
      </c>
      <c r="U36" s="25">
        <v>2.65</v>
      </c>
      <c r="V36" s="26">
        <v>1.49</v>
      </c>
      <c r="W36" s="27">
        <v>1.88</v>
      </c>
      <c r="X36" s="25">
        <v>5.27</v>
      </c>
      <c r="Y36" s="26">
        <v>5.87</v>
      </c>
      <c r="Z36" s="27">
        <v>5.13</v>
      </c>
      <c r="AA36" s="25">
        <v>2.4300000000000002</v>
      </c>
      <c r="AB36" s="26">
        <v>1.88</v>
      </c>
      <c r="AC36" s="27">
        <v>1.75</v>
      </c>
      <c r="AD36" s="25">
        <v>2.78</v>
      </c>
      <c r="AE36" s="26">
        <v>2.72</v>
      </c>
      <c r="AF36" s="27">
        <v>2.62</v>
      </c>
    </row>
    <row r="37" spans="1:32" ht="15" thickBot="1" x14ac:dyDescent="0.4">
      <c r="A37" s="59"/>
      <c r="B37" s="24">
        <v>0.1</v>
      </c>
      <c r="C37" s="6">
        <v>1.62</v>
      </c>
      <c r="D37" s="2">
        <v>1.88</v>
      </c>
      <c r="E37" s="3">
        <v>3.08</v>
      </c>
      <c r="F37" s="6">
        <v>1.96</v>
      </c>
      <c r="G37" s="2">
        <v>1.85</v>
      </c>
      <c r="H37" s="3">
        <v>2.31</v>
      </c>
      <c r="I37" s="6">
        <v>1.67</v>
      </c>
      <c r="J37" s="2">
        <v>0.83</v>
      </c>
      <c r="K37" s="3">
        <v>1.33</v>
      </c>
      <c r="L37" s="6">
        <v>2.5</v>
      </c>
      <c r="M37" s="2">
        <v>0.26</v>
      </c>
      <c r="N37" s="3">
        <v>2.19</v>
      </c>
      <c r="O37" s="6">
        <v>0.99</v>
      </c>
      <c r="P37" s="2">
        <v>0.91</v>
      </c>
      <c r="Q37" s="3">
        <v>1.66</v>
      </c>
      <c r="R37" s="6">
        <v>1.69</v>
      </c>
      <c r="S37" s="2">
        <v>3.36</v>
      </c>
      <c r="T37" s="3">
        <v>1.83</v>
      </c>
      <c r="U37" s="6">
        <v>2.4</v>
      </c>
      <c r="V37" s="2">
        <v>1.32</v>
      </c>
      <c r="W37" s="3">
        <v>1.32</v>
      </c>
      <c r="X37" s="6">
        <v>6.11</v>
      </c>
      <c r="Y37" s="2">
        <v>7.49</v>
      </c>
      <c r="Z37" s="3">
        <v>7.31</v>
      </c>
      <c r="AA37" s="6">
        <v>1.22</v>
      </c>
      <c r="AB37" s="2">
        <v>1.02</v>
      </c>
      <c r="AC37" s="3">
        <v>0.67</v>
      </c>
      <c r="AD37" s="6">
        <v>2.12</v>
      </c>
      <c r="AE37" s="2">
        <v>2.27</v>
      </c>
      <c r="AF37" s="3">
        <v>2.0099999999999998</v>
      </c>
    </row>
    <row r="38" spans="1:32" ht="15" thickBot="1" x14ac:dyDescent="0.4">
      <c r="A38" s="59"/>
      <c r="B38" s="24">
        <v>1</v>
      </c>
      <c r="C38" s="6">
        <v>0.45</v>
      </c>
      <c r="D38" s="2">
        <v>1.97</v>
      </c>
      <c r="E38" s="3">
        <v>0.34</v>
      </c>
      <c r="F38" s="6">
        <v>1.67</v>
      </c>
      <c r="G38" s="2">
        <v>1.1000000000000001</v>
      </c>
      <c r="H38" s="3">
        <v>1.86</v>
      </c>
      <c r="I38" s="6">
        <v>1.1399999999999999</v>
      </c>
      <c r="J38" s="2">
        <v>0.15</v>
      </c>
      <c r="K38" s="3">
        <v>0.77</v>
      </c>
      <c r="L38" s="6">
        <v>1.79</v>
      </c>
      <c r="M38" s="2">
        <v>-0.28999999999999998</v>
      </c>
      <c r="N38" s="3">
        <v>0.85</v>
      </c>
      <c r="O38" s="6">
        <v>0.37</v>
      </c>
      <c r="P38" s="2">
        <v>1.21</v>
      </c>
      <c r="Q38" s="3">
        <v>0.78</v>
      </c>
      <c r="R38" s="6">
        <v>2.3199999999999998</v>
      </c>
      <c r="S38" s="2">
        <v>2.21</v>
      </c>
      <c r="T38" s="3">
        <v>1.08</v>
      </c>
      <c r="U38" s="6">
        <v>1.95</v>
      </c>
      <c r="V38" s="2">
        <v>0.75</v>
      </c>
      <c r="W38" s="3">
        <v>0.68</v>
      </c>
      <c r="X38" s="6">
        <v>6.44</v>
      </c>
      <c r="Y38" s="2">
        <v>4</v>
      </c>
      <c r="Z38" s="3">
        <v>5.64</v>
      </c>
      <c r="AA38" s="6">
        <v>1.06</v>
      </c>
      <c r="AB38" s="2">
        <v>0.38</v>
      </c>
      <c r="AC38" s="3">
        <v>0.22</v>
      </c>
      <c r="AD38" s="6">
        <v>1.85</v>
      </c>
      <c r="AE38" s="2">
        <v>1.73</v>
      </c>
      <c r="AF38" s="3">
        <v>1.65</v>
      </c>
    </row>
    <row r="39" spans="1:32" ht="15" thickBot="1" x14ac:dyDescent="0.4">
      <c r="A39" s="59"/>
      <c r="B39" s="24">
        <v>10</v>
      </c>
      <c r="C39" s="6">
        <v>0.99</v>
      </c>
      <c r="D39" s="2">
        <v>1.73</v>
      </c>
      <c r="E39" s="3">
        <v>-0.43</v>
      </c>
      <c r="F39" s="6">
        <v>0.81</v>
      </c>
      <c r="G39" s="2">
        <v>0.7</v>
      </c>
      <c r="H39" s="3">
        <v>1.28</v>
      </c>
      <c r="I39" s="6">
        <v>1.03</v>
      </c>
      <c r="J39" s="2">
        <v>0.36</v>
      </c>
      <c r="K39" s="3">
        <v>0.41</v>
      </c>
      <c r="L39" s="6">
        <v>1.85</v>
      </c>
      <c r="M39" s="2">
        <v>-0.12</v>
      </c>
      <c r="N39" s="3">
        <v>1.6</v>
      </c>
      <c r="O39" s="6">
        <v>1.27</v>
      </c>
      <c r="P39" s="2">
        <v>0.35</v>
      </c>
      <c r="Q39" s="3">
        <v>0.83</v>
      </c>
      <c r="R39" s="6">
        <v>1.55</v>
      </c>
      <c r="S39" s="2">
        <v>3.09</v>
      </c>
      <c r="T39" s="3">
        <v>1.59</v>
      </c>
      <c r="U39" s="6">
        <v>1.1200000000000001</v>
      </c>
      <c r="V39" s="2">
        <v>0.59</v>
      </c>
      <c r="W39" s="3">
        <v>0.35</v>
      </c>
      <c r="X39" s="6">
        <v>5.44</v>
      </c>
      <c r="Y39" s="2">
        <v>7.01</v>
      </c>
      <c r="Z39" s="3">
        <v>6.26</v>
      </c>
      <c r="AA39" s="6">
        <v>0.34</v>
      </c>
      <c r="AB39" s="2">
        <v>0.42</v>
      </c>
      <c r="AC39" s="3">
        <v>0.1</v>
      </c>
      <c r="AD39" s="6">
        <v>1.1200000000000001</v>
      </c>
      <c r="AE39" s="2">
        <v>1.45</v>
      </c>
      <c r="AF39" s="3">
        <v>1.42</v>
      </c>
    </row>
    <row r="40" spans="1:32" ht="15" thickBot="1" x14ac:dyDescent="0.4">
      <c r="A40" s="60"/>
      <c r="B40" s="24">
        <v>100</v>
      </c>
      <c r="C40" s="7">
        <v>1.5</v>
      </c>
      <c r="D40" s="4">
        <v>2.36</v>
      </c>
      <c r="E40" s="5">
        <v>2.65</v>
      </c>
      <c r="F40" s="7">
        <v>1.04</v>
      </c>
      <c r="G40" s="4">
        <v>1.03</v>
      </c>
      <c r="H40" s="5">
        <v>1.33</v>
      </c>
      <c r="I40" s="7">
        <v>1.4</v>
      </c>
      <c r="J40" s="4">
        <v>0.61</v>
      </c>
      <c r="K40" s="5">
        <v>0.52</v>
      </c>
      <c r="L40" s="7">
        <v>1.81</v>
      </c>
      <c r="M40" s="4">
        <v>-0.12</v>
      </c>
      <c r="N40" s="5">
        <v>1.64</v>
      </c>
      <c r="O40" s="7">
        <v>1.5</v>
      </c>
      <c r="P40" s="4">
        <v>0.74</v>
      </c>
      <c r="Q40" s="5">
        <v>2.25</v>
      </c>
      <c r="R40" s="7">
        <v>1.43</v>
      </c>
      <c r="S40" s="4">
        <v>2.5499999999999998</v>
      </c>
      <c r="T40" s="5">
        <v>1.1399999999999999</v>
      </c>
      <c r="U40" s="7">
        <v>1.34</v>
      </c>
      <c r="V40" s="4">
        <v>0.48</v>
      </c>
      <c r="W40" s="5">
        <v>0.78</v>
      </c>
      <c r="X40" s="7">
        <v>6.16</v>
      </c>
      <c r="Y40" s="4">
        <v>2.96</v>
      </c>
      <c r="Z40" s="5">
        <v>5.32</v>
      </c>
      <c r="AA40" s="7">
        <v>0.48</v>
      </c>
      <c r="AB40" s="4">
        <v>0.86</v>
      </c>
      <c r="AC40" s="5">
        <v>0.52</v>
      </c>
      <c r="AD40" s="7">
        <v>1.1599999999999999</v>
      </c>
      <c r="AE40" s="4">
        <v>1.66</v>
      </c>
      <c r="AF40" s="5">
        <v>1.45</v>
      </c>
    </row>
  </sheetData>
  <mergeCells count="65">
    <mergeCell ref="A28:A32"/>
    <mergeCell ref="X35:Z35"/>
    <mergeCell ref="AA35:AC35"/>
    <mergeCell ref="AD35:AF35"/>
    <mergeCell ref="A36:A40"/>
    <mergeCell ref="F35:H35"/>
    <mergeCell ref="I35:K35"/>
    <mergeCell ref="L35:N35"/>
    <mergeCell ref="O35:Q35"/>
    <mergeCell ref="R35:T35"/>
    <mergeCell ref="U35:W35"/>
    <mergeCell ref="C34:Q34"/>
    <mergeCell ref="R34:AF34"/>
    <mergeCell ref="C35:E35"/>
    <mergeCell ref="C26:Q26"/>
    <mergeCell ref="R26:AF26"/>
    <mergeCell ref="C27:E27"/>
    <mergeCell ref="F27:H27"/>
    <mergeCell ref="I27:K27"/>
    <mergeCell ref="L27:N27"/>
    <mergeCell ref="O27:Q27"/>
    <mergeCell ref="R27:T27"/>
    <mergeCell ref="U27:W27"/>
    <mergeCell ref="X27:Z27"/>
    <mergeCell ref="AA27:AC27"/>
    <mergeCell ref="AD27:AF27"/>
    <mergeCell ref="R18:AF18"/>
    <mergeCell ref="O19:Q19"/>
    <mergeCell ref="R19:T19"/>
    <mergeCell ref="U19:W19"/>
    <mergeCell ref="X19:Z19"/>
    <mergeCell ref="AA19:AC19"/>
    <mergeCell ref="AD19:AF19"/>
    <mergeCell ref="AD11:AF11"/>
    <mergeCell ref="C10:Q10"/>
    <mergeCell ref="R10:AF10"/>
    <mergeCell ref="AA3:AC3"/>
    <mergeCell ref="AD3:AF3"/>
    <mergeCell ref="C11:E11"/>
    <mergeCell ref="F11:H11"/>
    <mergeCell ref="I11:K11"/>
    <mergeCell ref="L11:N11"/>
    <mergeCell ref="O11:Q11"/>
    <mergeCell ref="R11:T11"/>
    <mergeCell ref="U11:W11"/>
    <mergeCell ref="X11:Z11"/>
    <mergeCell ref="AA11:AC11"/>
    <mergeCell ref="C2:Q2"/>
    <mergeCell ref="R2:AF2"/>
    <mergeCell ref="A4:A8"/>
    <mergeCell ref="O3:Q3"/>
    <mergeCell ref="R3:T3"/>
    <mergeCell ref="U3:W3"/>
    <mergeCell ref="X3:Z3"/>
    <mergeCell ref="A12:A16"/>
    <mergeCell ref="A20:A24"/>
    <mergeCell ref="C19:E19"/>
    <mergeCell ref="F19:H19"/>
    <mergeCell ref="I19:K19"/>
    <mergeCell ref="L19:N19"/>
    <mergeCell ref="C18:Q18"/>
    <mergeCell ref="C3:E3"/>
    <mergeCell ref="F3:H3"/>
    <mergeCell ref="I3:K3"/>
    <mergeCell ref="L3:N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A8974-653C-4CE0-BA4E-6B8DF33A1E5A}">
  <dimension ref="A1:AF40"/>
  <sheetViews>
    <sheetView zoomScale="80" zoomScaleNormal="80" workbookViewId="0">
      <selection activeCell="C43" sqref="C43"/>
    </sheetView>
  </sheetViews>
  <sheetFormatPr defaultRowHeight="14.5" x14ac:dyDescent="0.35"/>
  <cols>
    <col min="2" max="2" width="16.26953125" customWidth="1"/>
  </cols>
  <sheetData>
    <row r="1" spans="1:32" ht="15" thickBot="1" x14ac:dyDescent="0.4">
      <c r="A1" t="s">
        <v>24</v>
      </c>
    </row>
    <row r="2" spans="1:32" ht="15" thickBot="1" x14ac:dyDescent="0.4">
      <c r="C2" s="49" t="s">
        <v>19</v>
      </c>
      <c r="D2" s="50"/>
      <c r="E2" s="50"/>
      <c r="F2" s="50"/>
      <c r="G2" s="50"/>
      <c r="H2" s="50"/>
      <c r="I2" s="50"/>
      <c r="J2" s="50"/>
      <c r="K2" s="50"/>
      <c r="L2" s="50"/>
      <c r="M2" s="50"/>
      <c r="N2" s="50"/>
      <c r="O2" s="50"/>
      <c r="P2" s="50"/>
      <c r="Q2" s="51"/>
      <c r="R2" s="52" t="s">
        <v>17</v>
      </c>
      <c r="S2" s="53"/>
      <c r="T2" s="53"/>
      <c r="U2" s="53"/>
      <c r="V2" s="53"/>
      <c r="W2" s="53"/>
      <c r="X2" s="53"/>
      <c r="Y2" s="53"/>
      <c r="Z2" s="53"/>
      <c r="AA2" s="53"/>
      <c r="AB2" s="53"/>
      <c r="AC2" s="53"/>
      <c r="AD2" s="53"/>
      <c r="AE2" s="53"/>
      <c r="AF2" s="54"/>
    </row>
    <row r="3" spans="1:32" ht="15" thickBot="1" x14ac:dyDescent="0.4">
      <c r="C3" s="55" t="s">
        <v>5</v>
      </c>
      <c r="D3" s="56"/>
      <c r="E3" s="57"/>
      <c r="F3" s="55" t="s">
        <v>6</v>
      </c>
      <c r="G3" s="56"/>
      <c r="H3" s="57"/>
      <c r="I3" s="55" t="s">
        <v>7</v>
      </c>
      <c r="J3" s="56"/>
      <c r="K3" s="57"/>
      <c r="L3" s="55" t="s">
        <v>8</v>
      </c>
      <c r="M3" s="56"/>
      <c r="N3" s="57"/>
      <c r="O3" s="55" t="s">
        <v>9</v>
      </c>
      <c r="P3" s="56"/>
      <c r="Q3" s="57"/>
      <c r="R3" s="55" t="s">
        <v>10</v>
      </c>
      <c r="S3" s="56"/>
      <c r="T3" s="57"/>
      <c r="U3" s="55" t="s">
        <v>11</v>
      </c>
      <c r="V3" s="56"/>
      <c r="W3" s="57"/>
      <c r="X3" s="55" t="s">
        <v>12</v>
      </c>
      <c r="Y3" s="56"/>
      <c r="Z3" s="57"/>
      <c r="AA3" s="55" t="s">
        <v>13</v>
      </c>
      <c r="AB3" s="56"/>
      <c r="AC3" s="57"/>
      <c r="AD3" s="55" t="s">
        <v>14</v>
      </c>
      <c r="AE3" s="56"/>
      <c r="AF3" s="57"/>
    </row>
    <row r="4" spans="1:32" ht="15" thickBot="1" x14ac:dyDescent="0.4">
      <c r="A4" s="61" t="s">
        <v>0</v>
      </c>
      <c r="B4" s="24">
        <v>0</v>
      </c>
      <c r="C4" s="25">
        <v>0.48</v>
      </c>
      <c r="D4" s="26">
        <v>0.97</v>
      </c>
      <c r="E4" s="27">
        <v>2.14</v>
      </c>
      <c r="F4" s="25">
        <v>0.67</v>
      </c>
      <c r="G4" s="26">
        <v>0.95</v>
      </c>
      <c r="H4" s="27">
        <v>1.58</v>
      </c>
      <c r="I4" s="25">
        <v>1.31</v>
      </c>
      <c r="J4" s="26">
        <v>1.08</v>
      </c>
      <c r="K4" s="27">
        <v>0.71</v>
      </c>
      <c r="L4" s="25">
        <v>1.53</v>
      </c>
      <c r="M4" s="26">
        <v>0.99</v>
      </c>
      <c r="N4" s="27">
        <v>0.66</v>
      </c>
      <c r="O4" s="25">
        <v>0.82</v>
      </c>
      <c r="P4" s="26">
        <v>1.41</v>
      </c>
      <c r="Q4" s="27">
        <v>0.86</v>
      </c>
      <c r="R4" s="25">
        <v>1.73</v>
      </c>
      <c r="S4" s="26">
        <v>0.42</v>
      </c>
      <c r="T4" s="27">
        <v>1.38</v>
      </c>
      <c r="U4" s="25">
        <v>0.96</v>
      </c>
      <c r="V4" s="26">
        <v>1.46</v>
      </c>
      <c r="W4" s="27">
        <v>0.71</v>
      </c>
      <c r="X4" s="25">
        <v>1.44</v>
      </c>
      <c r="Y4" s="26">
        <v>0.61</v>
      </c>
      <c r="Z4" s="27">
        <v>1.1399999999999999</v>
      </c>
      <c r="AA4" s="25">
        <v>0.78</v>
      </c>
      <c r="AB4" s="26">
        <v>1.0900000000000001</v>
      </c>
      <c r="AC4" s="27">
        <v>1.17</v>
      </c>
      <c r="AD4" s="25">
        <v>0.78</v>
      </c>
      <c r="AE4" s="26">
        <v>0.81</v>
      </c>
      <c r="AF4" s="27">
        <v>1.59</v>
      </c>
    </row>
    <row r="5" spans="1:32" ht="15" thickBot="1" x14ac:dyDescent="0.4">
      <c r="A5" s="62"/>
      <c r="B5" s="24">
        <v>0.1</v>
      </c>
      <c r="C5" s="6">
        <v>362.52</v>
      </c>
      <c r="D5" s="2">
        <v>863.85</v>
      </c>
      <c r="E5" s="3">
        <v>966.54</v>
      </c>
      <c r="F5" s="6">
        <v>33.79</v>
      </c>
      <c r="G5" s="2">
        <v>269.42</v>
      </c>
      <c r="H5" s="3">
        <v>254.64</v>
      </c>
      <c r="I5" s="6">
        <v>982.14</v>
      </c>
      <c r="J5" s="2">
        <v>727.53</v>
      </c>
      <c r="K5" s="3">
        <v>1257.76</v>
      </c>
      <c r="L5" s="6">
        <v>3759.43</v>
      </c>
      <c r="M5" s="2">
        <v>4446.72</v>
      </c>
      <c r="N5" s="3">
        <v>1677.75</v>
      </c>
      <c r="O5" s="6">
        <v>2279.19</v>
      </c>
      <c r="P5" s="2">
        <v>6206.21</v>
      </c>
      <c r="Q5" s="3">
        <v>5429.72</v>
      </c>
      <c r="R5" s="6">
        <v>111.2</v>
      </c>
      <c r="S5" s="2">
        <v>93.43</v>
      </c>
      <c r="T5" s="3">
        <v>216.33</v>
      </c>
      <c r="U5" s="6">
        <v>10.72</v>
      </c>
      <c r="V5" s="2">
        <v>27.68</v>
      </c>
      <c r="W5" s="3">
        <v>139.66999999999999</v>
      </c>
      <c r="X5" s="6">
        <v>0.87</v>
      </c>
      <c r="Y5" s="2">
        <v>0.27</v>
      </c>
      <c r="Z5" s="3">
        <v>20.329999999999998</v>
      </c>
      <c r="AA5" s="6">
        <v>786.16</v>
      </c>
      <c r="AB5" s="2">
        <v>675.66</v>
      </c>
      <c r="AC5" s="3">
        <v>447.41</v>
      </c>
      <c r="AD5" s="6">
        <v>9.4700000000000006</v>
      </c>
      <c r="AE5" s="2">
        <v>46.99</v>
      </c>
      <c r="AF5" s="3">
        <v>47.4</v>
      </c>
    </row>
    <row r="6" spans="1:32" ht="15" thickBot="1" x14ac:dyDescent="0.4">
      <c r="A6" s="62"/>
      <c r="B6" s="24">
        <v>1</v>
      </c>
      <c r="C6" s="6">
        <v>1739.23</v>
      </c>
      <c r="D6" s="2">
        <v>1744.66</v>
      </c>
      <c r="E6" s="3">
        <v>13020.57</v>
      </c>
      <c r="F6" s="6">
        <v>343.43</v>
      </c>
      <c r="G6" s="2">
        <v>4830.67</v>
      </c>
      <c r="H6" s="3">
        <v>4692.5</v>
      </c>
      <c r="I6" s="6">
        <v>3753.83</v>
      </c>
      <c r="J6" s="2">
        <v>2558.85</v>
      </c>
      <c r="K6" s="3">
        <v>2093.4299999999998</v>
      </c>
      <c r="L6" s="6">
        <v>28530.23</v>
      </c>
      <c r="M6" s="2">
        <v>27083.67</v>
      </c>
      <c r="N6" s="3">
        <v>12586.26</v>
      </c>
      <c r="O6" s="6">
        <v>12585.91</v>
      </c>
      <c r="P6" s="2">
        <v>14156.97</v>
      </c>
      <c r="Q6" s="3">
        <v>25568.11</v>
      </c>
      <c r="R6" s="6">
        <v>348.15</v>
      </c>
      <c r="S6" s="2">
        <v>639.28</v>
      </c>
      <c r="T6" s="3">
        <v>1478.43</v>
      </c>
      <c r="U6" s="6">
        <v>235.63</v>
      </c>
      <c r="V6" s="2">
        <v>301.61</v>
      </c>
      <c r="W6" s="3">
        <v>2052.4899999999998</v>
      </c>
      <c r="X6" s="6">
        <v>24.23</v>
      </c>
      <c r="Y6" s="2">
        <v>84.06</v>
      </c>
      <c r="Z6" s="3">
        <v>0.79</v>
      </c>
      <c r="AA6" s="6">
        <v>3664.02</v>
      </c>
      <c r="AB6" s="2">
        <v>3499.44</v>
      </c>
      <c r="AC6" s="3">
        <v>2324.89</v>
      </c>
      <c r="AD6" s="6">
        <v>332.48</v>
      </c>
      <c r="AE6" s="2">
        <v>1017.19</v>
      </c>
      <c r="AF6" s="3">
        <v>910.91</v>
      </c>
    </row>
    <row r="7" spans="1:32" ht="15" thickBot="1" x14ac:dyDescent="0.4">
      <c r="A7" s="62"/>
      <c r="B7" s="24">
        <v>10</v>
      </c>
      <c r="C7" s="6">
        <v>2545.6999999999998</v>
      </c>
      <c r="D7" s="2">
        <v>3999.76</v>
      </c>
      <c r="E7" s="3">
        <v>45996.11</v>
      </c>
      <c r="F7" s="6">
        <v>5541.19</v>
      </c>
      <c r="G7" s="2">
        <v>59882.26</v>
      </c>
      <c r="H7" s="3">
        <v>55714.36</v>
      </c>
      <c r="I7" s="6">
        <v>7257.99</v>
      </c>
      <c r="J7" s="2">
        <v>3121.83</v>
      </c>
      <c r="K7" s="3">
        <v>4213.38</v>
      </c>
      <c r="L7" s="6">
        <v>60956.57</v>
      </c>
      <c r="M7" s="2">
        <v>35570.22</v>
      </c>
      <c r="N7" s="3">
        <v>12423.38</v>
      </c>
      <c r="O7" s="6">
        <v>13571.21</v>
      </c>
      <c r="P7" s="2">
        <v>32589.53</v>
      </c>
      <c r="Q7" s="3">
        <v>36557.339999999997</v>
      </c>
      <c r="R7" s="6">
        <v>1587.17</v>
      </c>
      <c r="S7" s="2">
        <v>1047.6199999999999</v>
      </c>
      <c r="T7" s="3">
        <v>2009.68</v>
      </c>
      <c r="U7" s="6">
        <v>3681.02</v>
      </c>
      <c r="V7" s="2">
        <v>4937.99</v>
      </c>
      <c r="W7" s="3">
        <v>35881.360000000001</v>
      </c>
      <c r="X7" s="6">
        <v>738.71</v>
      </c>
      <c r="Y7" s="2">
        <v>495.3</v>
      </c>
      <c r="Z7" s="3">
        <v>847.98</v>
      </c>
      <c r="AA7" s="6">
        <v>12937.42</v>
      </c>
      <c r="AB7" s="2">
        <v>8579.1299999999992</v>
      </c>
      <c r="AC7" s="3">
        <v>5955.4</v>
      </c>
      <c r="AD7" s="6">
        <v>2301.31</v>
      </c>
      <c r="AE7" s="2">
        <v>4888.6000000000004</v>
      </c>
      <c r="AF7" s="3">
        <v>4811.18</v>
      </c>
    </row>
    <row r="8" spans="1:32" ht="15" thickBot="1" x14ac:dyDescent="0.4">
      <c r="A8" s="63"/>
      <c r="B8" s="24">
        <v>100</v>
      </c>
      <c r="C8" s="7">
        <v>2525.64</v>
      </c>
      <c r="D8" s="4">
        <v>2676.17</v>
      </c>
      <c r="E8" s="5">
        <v>6913.55</v>
      </c>
      <c r="F8" s="7">
        <v>7200.49</v>
      </c>
      <c r="G8" s="4">
        <v>50194.69</v>
      </c>
      <c r="H8" s="5">
        <v>60218.400000000001</v>
      </c>
      <c r="I8" s="7">
        <v>12164.56</v>
      </c>
      <c r="J8" s="4">
        <v>2775.25</v>
      </c>
      <c r="K8" s="5">
        <v>4529.03</v>
      </c>
      <c r="L8" s="7">
        <v>71320.73</v>
      </c>
      <c r="M8" s="4">
        <v>46990.52</v>
      </c>
      <c r="N8" s="5">
        <v>12546.72</v>
      </c>
      <c r="O8" s="7">
        <v>12897.89</v>
      </c>
      <c r="P8" s="4">
        <v>28045.759999999998</v>
      </c>
      <c r="Q8" s="5">
        <v>15247.94</v>
      </c>
      <c r="R8" s="7">
        <v>2403.2199999999998</v>
      </c>
      <c r="S8" s="4">
        <v>1234.3599999999999</v>
      </c>
      <c r="T8" s="5">
        <v>2484.79</v>
      </c>
      <c r="U8" s="7">
        <v>11621.34</v>
      </c>
      <c r="V8" s="4">
        <v>13357.97</v>
      </c>
      <c r="W8" s="5">
        <v>56563.11</v>
      </c>
      <c r="X8" s="7">
        <v>1793.07</v>
      </c>
      <c r="Y8" s="4">
        <v>20447.57</v>
      </c>
      <c r="Z8" s="5">
        <v>4152.95</v>
      </c>
      <c r="AA8" s="7">
        <v>18669.75</v>
      </c>
      <c r="AB8" s="4">
        <v>7645.32</v>
      </c>
      <c r="AC8" s="5">
        <v>5263.99</v>
      </c>
      <c r="AD8" s="7">
        <v>1854.59</v>
      </c>
      <c r="AE8" s="4">
        <v>8272.75</v>
      </c>
      <c r="AF8" s="5">
        <v>8496.59</v>
      </c>
    </row>
    <row r="9" spans="1:32" ht="15" thickBot="1" x14ac:dyDescent="0.4"/>
    <row r="10" spans="1:32" ht="15" thickBot="1" x14ac:dyDescent="0.4">
      <c r="C10" s="49" t="s">
        <v>19</v>
      </c>
      <c r="D10" s="50"/>
      <c r="E10" s="50"/>
      <c r="F10" s="50"/>
      <c r="G10" s="50"/>
      <c r="H10" s="50"/>
      <c r="I10" s="50"/>
      <c r="J10" s="50"/>
      <c r="K10" s="50"/>
      <c r="L10" s="50"/>
      <c r="M10" s="50"/>
      <c r="N10" s="50"/>
      <c r="O10" s="50"/>
      <c r="P10" s="50"/>
      <c r="Q10" s="51"/>
      <c r="R10" s="52" t="s">
        <v>17</v>
      </c>
      <c r="S10" s="53"/>
      <c r="T10" s="53"/>
      <c r="U10" s="53"/>
      <c r="V10" s="53"/>
      <c r="W10" s="53"/>
      <c r="X10" s="53"/>
      <c r="Y10" s="53"/>
      <c r="Z10" s="53"/>
      <c r="AA10" s="53"/>
      <c r="AB10" s="53"/>
      <c r="AC10" s="53"/>
      <c r="AD10" s="53"/>
      <c r="AE10" s="53"/>
      <c r="AF10" s="54"/>
    </row>
    <row r="11" spans="1:32" ht="15" thickBot="1" x14ac:dyDescent="0.4">
      <c r="C11" s="55" t="s">
        <v>5</v>
      </c>
      <c r="D11" s="56"/>
      <c r="E11" s="57"/>
      <c r="F11" s="55" t="s">
        <v>6</v>
      </c>
      <c r="G11" s="56"/>
      <c r="H11" s="57"/>
      <c r="I11" s="55" t="s">
        <v>7</v>
      </c>
      <c r="J11" s="56"/>
      <c r="K11" s="57"/>
      <c r="L11" s="55" t="s">
        <v>8</v>
      </c>
      <c r="M11" s="56"/>
      <c r="N11" s="57"/>
      <c r="O11" s="55" t="s">
        <v>9</v>
      </c>
      <c r="P11" s="56"/>
      <c r="Q11" s="57"/>
      <c r="R11" s="55" t="s">
        <v>10</v>
      </c>
      <c r="S11" s="56"/>
      <c r="T11" s="57"/>
      <c r="U11" s="55" t="s">
        <v>11</v>
      </c>
      <c r="V11" s="56"/>
      <c r="W11" s="57"/>
      <c r="X11" s="55" t="s">
        <v>12</v>
      </c>
      <c r="Y11" s="56"/>
      <c r="Z11" s="57"/>
      <c r="AA11" s="55" t="s">
        <v>13</v>
      </c>
      <c r="AB11" s="56"/>
      <c r="AC11" s="57"/>
      <c r="AD11" s="55" t="s">
        <v>14</v>
      </c>
      <c r="AE11" s="56"/>
      <c r="AF11" s="57"/>
    </row>
    <row r="12" spans="1:32" ht="15" thickBot="1" x14ac:dyDescent="0.4">
      <c r="A12" s="61" t="s">
        <v>1</v>
      </c>
      <c r="B12" s="24">
        <v>0</v>
      </c>
      <c r="C12" s="25">
        <v>1.3</v>
      </c>
      <c r="D12" s="26">
        <v>1.59</v>
      </c>
      <c r="E12" s="27">
        <v>0.49</v>
      </c>
      <c r="F12" s="25">
        <v>1.26</v>
      </c>
      <c r="G12" s="26">
        <v>0.75</v>
      </c>
      <c r="H12" s="27">
        <v>1.06</v>
      </c>
      <c r="I12" s="25">
        <v>0.78</v>
      </c>
      <c r="J12" s="26">
        <v>2.15</v>
      </c>
      <c r="K12" s="27">
        <v>0.6</v>
      </c>
      <c r="L12" s="25">
        <v>1.86</v>
      </c>
      <c r="M12" s="26">
        <v>1.1100000000000001</v>
      </c>
      <c r="N12" s="27">
        <v>0.48</v>
      </c>
      <c r="O12" s="25">
        <v>1.04</v>
      </c>
      <c r="P12" s="26">
        <v>1.06</v>
      </c>
      <c r="Q12" s="27">
        <v>0.91</v>
      </c>
      <c r="R12" s="25">
        <v>3.15</v>
      </c>
      <c r="S12" s="26">
        <v>0.35</v>
      </c>
      <c r="T12" s="27">
        <v>0.91</v>
      </c>
      <c r="U12" s="25">
        <v>0.7</v>
      </c>
      <c r="V12" s="26">
        <v>1.05</v>
      </c>
      <c r="W12" s="27">
        <v>1.36</v>
      </c>
      <c r="X12" s="25">
        <v>1.6</v>
      </c>
      <c r="Y12" s="26">
        <v>0.51</v>
      </c>
      <c r="Z12" s="27">
        <v>1.23</v>
      </c>
      <c r="AA12" s="25">
        <v>0.86</v>
      </c>
      <c r="AB12" s="26">
        <v>1.26</v>
      </c>
      <c r="AC12" s="27">
        <v>0.93</v>
      </c>
      <c r="AD12" s="25">
        <v>0.75</v>
      </c>
      <c r="AE12" s="26">
        <v>0.88</v>
      </c>
      <c r="AF12" s="27">
        <v>1.52</v>
      </c>
    </row>
    <row r="13" spans="1:32" ht="15" thickBot="1" x14ac:dyDescent="0.4">
      <c r="A13" s="62"/>
      <c r="B13" s="24">
        <v>0.1</v>
      </c>
      <c r="C13" s="6">
        <v>2.39</v>
      </c>
      <c r="D13" s="2">
        <v>4.1399999999999997</v>
      </c>
      <c r="E13" s="3">
        <v>1.08</v>
      </c>
      <c r="F13" s="6">
        <v>0.74</v>
      </c>
      <c r="G13" s="2">
        <v>1.69</v>
      </c>
      <c r="H13" s="3">
        <v>1.32</v>
      </c>
      <c r="I13" s="6">
        <v>0.74</v>
      </c>
      <c r="J13" s="2">
        <v>1.77</v>
      </c>
      <c r="K13" s="3">
        <v>0.95</v>
      </c>
      <c r="L13" s="6">
        <v>3.22</v>
      </c>
      <c r="M13" s="2">
        <v>1.45</v>
      </c>
      <c r="N13" s="3">
        <v>0.57999999999999996</v>
      </c>
      <c r="O13" s="6">
        <v>1.76</v>
      </c>
      <c r="P13" s="2">
        <v>1.39</v>
      </c>
      <c r="Q13" s="3">
        <v>1.37</v>
      </c>
      <c r="R13" s="6">
        <v>1.39</v>
      </c>
      <c r="S13" s="2">
        <v>1.58</v>
      </c>
      <c r="T13" s="3">
        <v>1.3</v>
      </c>
      <c r="U13" s="6">
        <v>0.6</v>
      </c>
      <c r="V13" s="2">
        <v>1.02</v>
      </c>
      <c r="W13" s="3">
        <v>1.43</v>
      </c>
      <c r="X13" s="6">
        <v>0.92</v>
      </c>
      <c r="Y13" s="2">
        <v>0.17</v>
      </c>
      <c r="Z13" s="3">
        <v>0.16</v>
      </c>
      <c r="AA13" s="6">
        <v>2.33</v>
      </c>
      <c r="AB13" s="2">
        <v>1.29</v>
      </c>
      <c r="AC13" s="3">
        <v>0.92</v>
      </c>
      <c r="AD13" s="6">
        <v>0.68</v>
      </c>
      <c r="AE13" s="2">
        <v>1.1000000000000001</v>
      </c>
      <c r="AF13" s="3">
        <v>2.4900000000000002</v>
      </c>
    </row>
    <row r="14" spans="1:32" ht="15" thickBot="1" x14ac:dyDescent="0.4">
      <c r="A14" s="62"/>
      <c r="B14" s="24">
        <v>1</v>
      </c>
      <c r="C14" s="6">
        <v>3.99</v>
      </c>
      <c r="D14" s="2">
        <v>1.78</v>
      </c>
      <c r="E14" s="3">
        <v>4.8099999999999996</v>
      </c>
      <c r="F14" s="6">
        <v>0.61</v>
      </c>
      <c r="G14" s="2">
        <v>3.5</v>
      </c>
      <c r="H14" s="3">
        <v>1.07</v>
      </c>
      <c r="I14" s="6">
        <v>1.1399999999999999</v>
      </c>
      <c r="J14" s="2">
        <v>2.13</v>
      </c>
      <c r="K14" s="3">
        <v>1.03</v>
      </c>
      <c r="L14" s="6">
        <v>4.88</v>
      </c>
      <c r="M14" s="2">
        <v>2.29</v>
      </c>
      <c r="N14" s="3">
        <v>1.47</v>
      </c>
      <c r="O14" s="6">
        <v>1.56</v>
      </c>
      <c r="P14" s="2">
        <v>1.39</v>
      </c>
      <c r="Q14" s="3">
        <v>2.21</v>
      </c>
      <c r="R14" s="6">
        <v>1.49</v>
      </c>
      <c r="S14" s="2">
        <v>0.62</v>
      </c>
      <c r="T14" s="3">
        <v>1.87</v>
      </c>
      <c r="U14" s="6">
        <v>1.1000000000000001</v>
      </c>
      <c r="V14" s="2">
        <v>0.78</v>
      </c>
      <c r="W14" s="3">
        <v>0.78</v>
      </c>
      <c r="X14" s="6">
        <v>0.51</v>
      </c>
      <c r="Y14" s="2">
        <v>1.9</v>
      </c>
      <c r="Z14" s="3">
        <v>0.57999999999999996</v>
      </c>
      <c r="AA14" s="6">
        <v>1.32</v>
      </c>
      <c r="AB14" s="2">
        <v>2.5499999999999998</v>
      </c>
      <c r="AC14" s="3">
        <v>0.87</v>
      </c>
      <c r="AD14" s="6">
        <v>0.66</v>
      </c>
      <c r="AE14" s="2">
        <v>1.39</v>
      </c>
      <c r="AF14" s="3">
        <v>2.39</v>
      </c>
    </row>
    <row r="15" spans="1:32" ht="15" thickBot="1" x14ac:dyDescent="0.4">
      <c r="A15" s="62"/>
      <c r="B15" s="24">
        <v>10</v>
      </c>
      <c r="C15" s="6">
        <v>2.98</v>
      </c>
      <c r="D15" s="2">
        <v>4.01</v>
      </c>
      <c r="E15" s="3">
        <v>6.29</v>
      </c>
      <c r="F15" s="6">
        <v>0.8</v>
      </c>
      <c r="G15" s="2">
        <v>2.15</v>
      </c>
      <c r="H15" s="3">
        <v>1.24</v>
      </c>
      <c r="I15" s="6">
        <v>0.7</v>
      </c>
      <c r="J15" s="2">
        <v>1.82</v>
      </c>
      <c r="K15" s="3">
        <v>1.01</v>
      </c>
      <c r="L15" s="6">
        <v>1.84</v>
      </c>
      <c r="M15" s="2">
        <v>2.75</v>
      </c>
      <c r="N15" s="3">
        <v>0.56999999999999995</v>
      </c>
      <c r="O15" s="6">
        <v>0.59</v>
      </c>
      <c r="P15" s="2">
        <v>1.67</v>
      </c>
      <c r="Q15" s="3">
        <v>1.87</v>
      </c>
      <c r="R15" s="6">
        <v>3.12</v>
      </c>
      <c r="S15" s="2">
        <v>1.0900000000000001</v>
      </c>
      <c r="T15" s="3">
        <v>1.69</v>
      </c>
      <c r="U15" s="6">
        <v>1.33</v>
      </c>
      <c r="V15" s="2">
        <v>0.87</v>
      </c>
      <c r="W15" s="3">
        <v>0.73</v>
      </c>
      <c r="X15" s="6">
        <v>0.56999999999999995</v>
      </c>
      <c r="Y15" s="2">
        <v>0.18</v>
      </c>
      <c r="Z15" s="3">
        <v>0.17</v>
      </c>
      <c r="AA15" s="6">
        <v>2.79</v>
      </c>
      <c r="AB15" s="2">
        <v>2.71</v>
      </c>
      <c r="AC15" s="3">
        <v>1.36</v>
      </c>
      <c r="AD15" s="6">
        <v>0.77</v>
      </c>
      <c r="AE15" s="2">
        <v>0.93</v>
      </c>
      <c r="AF15" s="3">
        <v>1.73</v>
      </c>
    </row>
    <row r="16" spans="1:32" ht="15" thickBot="1" x14ac:dyDescent="0.4">
      <c r="A16" s="63"/>
      <c r="B16" s="24">
        <v>100</v>
      </c>
      <c r="C16" s="7">
        <v>1.43</v>
      </c>
      <c r="D16" s="4">
        <v>1.1200000000000001</v>
      </c>
      <c r="E16" s="5">
        <v>0.79</v>
      </c>
      <c r="F16" s="7">
        <v>0.78</v>
      </c>
      <c r="G16" s="4">
        <v>0.9</v>
      </c>
      <c r="H16" s="5">
        <v>0.95</v>
      </c>
      <c r="I16" s="7">
        <v>1.26</v>
      </c>
      <c r="J16" s="4">
        <v>1.4</v>
      </c>
      <c r="K16" s="5">
        <v>0.94</v>
      </c>
      <c r="L16" s="7">
        <v>3.19</v>
      </c>
      <c r="M16" s="4">
        <v>3.18</v>
      </c>
      <c r="N16" s="5">
        <v>0.64</v>
      </c>
      <c r="O16" s="7">
        <v>0.46</v>
      </c>
      <c r="P16" s="4">
        <v>1.01</v>
      </c>
      <c r="Q16" s="5">
        <v>0.38</v>
      </c>
      <c r="R16" s="7">
        <v>1.51</v>
      </c>
      <c r="S16" s="4">
        <v>0.89</v>
      </c>
      <c r="T16" s="5">
        <v>1.2</v>
      </c>
      <c r="U16" s="7">
        <v>1.97</v>
      </c>
      <c r="V16" s="4">
        <v>0.64</v>
      </c>
      <c r="W16" s="5">
        <v>0.85</v>
      </c>
      <c r="X16" s="7">
        <v>0.24</v>
      </c>
      <c r="Y16" s="4">
        <v>4.32</v>
      </c>
      <c r="Z16" s="5">
        <v>0.36</v>
      </c>
      <c r="AA16" s="7">
        <v>0.96</v>
      </c>
      <c r="AB16" s="4">
        <v>1.39</v>
      </c>
      <c r="AC16" s="5">
        <v>0.67</v>
      </c>
      <c r="AD16" s="7">
        <v>0.99</v>
      </c>
      <c r="AE16" s="4">
        <v>0.68</v>
      </c>
      <c r="AF16" s="5">
        <v>1.61</v>
      </c>
    </row>
    <row r="17" spans="1:32" ht="15" thickBot="1" x14ac:dyDescent="0.4"/>
    <row r="18" spans="1:32" ht="15" thickBot="1" x14ac:dyDescent="0.4">
      <c r="C18" s="49" t="s">
        <v>19</v>
      </c>
      <c r="D18" s="50"/>
      <c r="E18" s="50"/>
      <c r="F18" s="50"/>
      <c r="G18" s="50"/>
      <c r="H18" s="50"/>
      <c r="I18" s="50"/>
      <c r="J18" s="50"/>
      <c r="K18" s="50"/>
      <c r="L18" s="50"/>
      <c r="M18" s="50"/>
      <c r="N18" s="50"/>
      <c r="O18" s="50"/>
      <c r="P18" s="50"/>
      <c r="Q18" s="51"/>
      <c r="R18" s="52" t="s">
        <v>17</v>
      </c>
      <c r="S18" s="53"/>
      <c r="T18" s="53"/>
      <c r="U18" s="53"/>
      <c r="V18" s="53"/>
      <c r="W18" s="53"/>
      <c r="X18" s="53"/>
      <c r="Y18" s="53"/>
      <c r="Z18" s="53"/>
      <c r="AA18" s="53"/>
      <c r="AB18" s="53"/>
      <c r="AC18" s="53"/>
      <c r="AD18" s="53"/>
      <c r="AE18" s="53"/>
      <c r="AF18" s="54"/>
    </row>
    <row r="19" spans="1:32" ht="15" thickBot="1" x14ac:dyDescent="0.4">
      <c r="C19" s="55" t="s">
        <v>5</v>
      </c>
      <c r="D19" s="56"/>
      <c r="E19" s="57"/>
      <c r="F19" s="55" t="s">
        <v>6</v>
      </c>
      <c r="G19" s="56"/>
      <c r="H19" s="57"/>
      <c r="I19" s="55" t="s">
        <v>7</v>
      </c>
      <c r="J19" s="56"/>
      <c r="K19" s="57"/>
      <c r="L19" s="55" t="s">
        <v>8</v>
      </c>
      <c r="M19" s="56"/>
      <c r="N19" s="57"/>
      <c r="O19" s="55" t="s">
        <v>9</v>
      </c>
      <c r="P19" s="56"/>
      <c r="Q19" s="57"/>
      <c r="R19" s="55" t="s">
        <v>10</v>
      </c>
      <c r="S19" s="56"/>
      <c r="T19" s="57"/>
      <c r="U19" s="55" t="s">
        <v>11</v>
      </c>
      <c r="V19" s="56"/>
      <c r="W19" s="57"/>
      <c r="X19" s="55" t="s">
        <v>12</v>
      </c>
      <c r="Y19" s="56"/>
      <c r="Z19" s="57"/>
      <c r="AA19" s="55" t="s">
        <v>13</v>
      </c>
      <c r="AB19" s="56"/>
      <c r="AC19" s="57"/>
      <c r="AD19" s="55" t="s">
        <v>14</v>
      </c>
      <c r="AE19" s="56"/>
      <c r="AF19" s="57"/>
    </row>
    <row r="20" spans="1:32" ht="15" thickBot="1" x14ac:dyDescent="0.4">
      <c r="A20" s="61" t="s">
        <v>2</v>
      </c>
      <c r="B20" s="24">
        <v>0</v>
      </c>
      <c r="C20" s="25">
        <v>1.27</v>
      </c>
      <c r="D20" s="26">
        <v>0.48</v>
      </c>
      <c r="E20" s="27">
        <v>1.08</v>
      </c>
      <c r="F20" s="25">
        <v>1.0900000000000001</v>
      </c>
      <c r="G20" s="26">
        <v>1.25</v>
      </c>
      <c r="H20" s="27">
        <v>0.73</v>
      </c>
      <c r="I20" s="25">
        <v>0.65</v>
      </c>
      <c r="J20" s="26">
        <v>1.47</v>
      </c>
      <c r="K20" s="27">
        <v>1.05</v>
      </c>
      <c r="L20" s="25">
        <v>1.01</v>
      </c>
      <c r="M20" s="26">
        <v>1.01</v>
      </c>
      <c r="N20" s="27">
        <v>0.98</v>
      </c>
      <c r="O20" s="25">
        <v>0.72</v>
      </c>
      <c r="P20" s="26">
        <v>1.35</v>
      </c>
      <c r="Q20" s="27">
        <v>1.03</v>
      </c>
      <c r="R20" s="25">
        <v>1.93</v>
      </c>
      <c r="S20" s="26">
        <v>0.48</v>
      </c>
      <c r="T20" s="27">
        <v>1.08</v>
      </c>
      <c r="U20" s="25">
        <v>1.3</v>
      </c>
      <c r="V20" s="26">
        <v>0.85</v>
      </c>
      <c r="W20" s="27">
        <v>0.9</v>
      </c>
      <c r="X20" s="25">
        <v>1.1299999999999999</v>
      </c>
      <c r="Y20" s="26">
        <v>1.31</v>
      </c>
      <c r="Z20" s="27">
        <v>0.68</v>
      </c>
      <c r="AA20" s="25">
        <v>1.06</v>
      </c>
      <c r="AB20" s="26">
        <v>1.1000000000000001</v>
      </c>
      <c r="AC20" s="27">
        <v>0.86</v>
      </c>
      <c r="AD20" s="25">
        <v>0.72</v>
      </c>
      <c r="AE20" s="26">
        <v>1.42</v>
      </c>
      <c r="AF20" s="27">
        <v>0.98</v>
      </c>
    </row>
    <row r="21" spans="1:32" ht="15" thickBot="1" x14ac:dyDescent="0.4">
      <c r="A21" s="62"/>
      <c r="B21" s="24">
        <v>0.1</v>
      </c>
      <c r="C21" s="6">
        <v>45.19</v>
      </c>
      <c r="D21" s="2">
        <v>19.059999999999999</v>
      </c>
      <c r="E21" s="3">
        <v>36.81</v>
      </c>
      <c r="F21" s="6">
        <v>3.16</v>
      </c>
      <c r="G21" s="2">
        <v>4.68</v>
      </c>
      <c r="H21" s="3">
        <v>2.4500000000000002</v>
      </c>
      <c r="I21" s="6">
        <v>7.24</v>
      </c>
      <c r="J21" s="2">
        <v>18.829999999999998</v>
      </c>
      <c r="K21" s="3">
        <v>12.44</v>
      </c>
      <c r="L21" s="6">
        <v>8.2899999999999991</v>
      </c>
      <c r="M21" s="2">
        <v>31.46</v>
      </c>
      <c r="N21" s="3">
        <v>13.86</v>
      </c>
      <c r="O21" s="6">
        <v>13.16</v>
      </c>
      <c r="P21" s="2">
        <v>19.46</v>
      </c>
      <c r="Q21" s="3">
        <v>16.07</v>
      </c>
      <c r="R21" s="6">
        <v>54.56</v>
      </c>
      <c r="S21" s="2">
        <v>19.059999999999999</v>
      </c>
      <c r="T21" s="3">
        <v>36.81</v>
      </c>
      <c r="U21" s="6">
        <v>4.53</v>
      </c>
      <c r="V21" s="2">
        <v>5.45</v>
      </c>
      <c r="W21" s="3">
        <v>6.78</v>
      </c>
      <c r="X21" s="6">
        <v>0.85</v>
      </c>
      <c r="Y21" s="2">
        <v>0.66</v>
      </c>
      <c r="Z21" s="3">
        <v>2.2999999999999998</v>
      </c>
      <c r="AA21" s="6">
        <v>9.3699999999999992</v>
      </c>
      <c r="AB21" s="2">
        <v>9.69</v>
      </c>
      <c r="AC21" s="3">
        <v>10.78</v>
      </c>
      <c r="AD21" s="6">
        <v>10.06</v>
      </c>
      <c r="AE21" s="2">
        <v>16.36</v>
      </c>
      <c r="AF21" s="3">
        <v>10.44</v>
      </c>
    </row>
    <row r="22" spans="1:32" ht="15" thickBot="1" x14ac:dyDescent="0.4">
      <c r="A22" s="62"/>
      <c r="B22" s="24">
        <v>1</v>
      </c>
      <c r="C22" s="6">
        <v>115.49</v>
      </c>
      <c r="D22" s="2">
        <v>52.89</v>
      </c>
      <c r="E22" s="3">
        <v>69.05</v>
      </c>
      <c r="F22" s="6">
        <v>7.3</v>
      </c>
      <c r="G22" s="2">
        <v>12.68</v>
      </c>
      <c r="H22" s="3">
        <v>6.49</v>
      </c>
      <c r="I22" s="6">
        <v>12.01</v>
      </c>
      <c r="J22" s="2">
        <v>33.72</v>
      </c>
      <c r="K22" s="3">
        <v>12.87</v>
      </c>
      <c r="L22" s="6">
        <v>17.600000000000001</v>
      </c>
      <c r="M22" s="2">
        <v>58.86</v>
      </c>
      <c r="N22" s="3">
        <v>44.78</v>
      </c>
      <c r="O22" s="6">
        <v>23.11</v>
      </c>
      <c r="P22" s="2">
        <v>21.24</v>
      </c>
      <c r="Q22" s="3">
        <v>29.51</v>
      </c>
      <c r="R22" s="6">
        <v>47.21</v>
      </c>
      <c r="S22" s="2">
        <v>52.89</v>
      </c>
      <c r="T22" s="3">
        <v>69.05</v>
      </c>
      <c r="U22" s="6">
        <v>7.14</v>
      </c>
      <c r="V22" s="2">
        <v>5.87</v>
      </c>
      <c r="W22" s="3">
        <v>9.42</v>
      </c>
      <c r="X22" s="6">
        <v>3.37</v>
      </c>
      <c r="Y22" s="2">
        <v>3.32</v>
      </c>
      <c r="Z22" s="3">
        <v>0.45</v>
      </c>
      <c r="AA22" s="6">
        <v>16.11</v>
      </c>
      <c r="AB22" s="2">
        <v>17.48</v>
      </c>
      <c r="AC22" s="3">
        <v>19.93</v>
      </c>
      <c r="AD22" s="6">
        <v>22.09</v>
      </c>
      <c r="AE22" s="2">
        <v>40.65</v>
      </c>
      <c r="AF22" s="3">
        <v>24.03</v>
      </c>
    </row>
    <row r="23" spans="1:32" ht="15" thickBot="1" x14ac:dyDescent="0.4">
      <c r="A23" s="62"/>
      <c r="B23" s="24">
        <v>10</v>
      </c>
      <c r="C23" s="6">
        <v>92.73</v>
      </c>
      <c r="D23" s="2">
        <v>32.72</v>
      </c>
      <c r="E23" s="3">
        <v>56.43</v>
      </c>
      <c r="F23" s="6">
        <v>16.93</v>
      </c>
      <c r="G23" s="2">
        <v>23.46</v>
      </c>
      <c r="H23" s="3">
        <v>12.45</v>
      </c>
      <c r="I23" s="6">
        <v>15.37</v>
      </c>
      <c r="J23" s="2">
        <v>34.49</v>
      </c>
      <c r="K23" s="3">
        <v>23.97</v>
      </c>
      <c r="L23" s="6">
        <v>22.34</v>
      </c>
      <c r="M23" s="2">
        <v>70.03</v>
      </c>
      <c r="N23" s="3">
        <v>30.38</v>
      </c>
      <c r="O23" s="6">
        <v>15.12</v>
      </c>
      <c r="P23" s="2">
        <v>35.33</v>
      </c>
      <c r="Q23" s="3">
        <v>33.44</v>
      </c>
      <c r="R23" s="6">
        <v>81.540000000000006</v>
      </c>
      <c r="S23" s="2">
        <v>32.72</v>
      </c>
      <c r="T23" s="3">
        <v>56.43</v>
      </c>
      <c r="U23" s="6">
        <v>19.100000000000001</v>
      </c>
      <c r="V23" s="2">
        <v>12.99</v>
      </c>
      <c r="W23" s="3">
        <v>20.25</v>
      </c>
      <c r="X23" s="6">
        <v>8.36</v>
      </c>
      <c r="Y23" s="2">
        <v>7.63</v>
      </c>
      <c r="Z23" s="3">
        <v>9.52</v>
      </c>
      <c r="AA23" s="6">
        <v>28.91</v>
      </c>
      <c r="AB23" s="2">
        <v>20.05</v>
      </c>
      <c r="AC23" s="3">
        <v>23.2</v>
      </c>
      <c r="AD23" s="6">
        <v>46.87</v>
      </c>
      <c r="AE23" s="2">
        <v>68.91</v>
      </c>
      <c r="AF23" s="3">
        <v>32.18</v>
      </c>
    </row>
    <row r="24" spans="1:32" ht="15" thickBot="1" x14ac:dyDescent="0.4">
      <c r="A24" s="63"/>
      <c r="B24" s="24">
        <v>100</v>
      </c>
      <c r="C24" s="7">
        <v>79.760000000000005</v>
      </c>
      <c r="D24" s="4">
        <v>42.82</v>
      </c>
      <c r="E24" s="5">
        <v>65.94</v>
      </c>
      <c r="F24" s="7">
        <v>16.82</v>
      </c>
      <c r="G24" s="4">
        <v>19.079999999999998</v>
      </c>
      <c r="H24" s="5">
        <v>12.77</v>
      </c>
      <c r="I24" s="7">
        <v>13.54</v>
      </c>
      <c r="J24" s="4">
        <v>34.35</v>
      </c>
      <c r="K24" s="5">
        <v>23.45</v>
      </c>
      <c r="L24" s="7">
        <v>23.13</v>
      </c>
      <c r="M24" s="4">
        <v>64.569999999999993</v>
      </c>
      <c r="N24" s="5">
        <v>30.14</v>
      </c>
      <c r="O24" s="7">
        <v>12.9</v>
      </c>
      <c r="P24" s="4">
        <v>30.2</v>
      </c>
      <c r="Q24" s="5">
        <v>13.2</v>
      </c>
      <c r="R24" s="7">
        <v>95.17</v>
      </c>
      <c r="S24" s="4">
        <v>42.82</v>
      </c>
      <c r="T24" s="5">
        <v>65.94</v>
      </c>
      <c r="U24" s="7">
        <v>24.07</v>
      </c>
      <c r="V24" s="4">
        <v>16.45</v>
      </c>
      <c r="W24" s="5">
        <v>18.14</v>
      </c>
      <c r="X24" s="7">
        <v>12.23</v>
      </c>
      <c r="Y24" s="4">
        <v>21.95</v>
      </c>
      <c r="Z24" s="5">
        <v>11.58</v>
      </c>
      <c r="AA24" s="7">
        <v>26.26</v>
      </c>
      <c r="AB24" s="4">
        <v>15.99</v>
      </c>
      <c r="AC24" s="5">
        <v>18.71</v>
      </c>
      <c r="AD24" s="7">
        <v>42.64</v>
      </c>
      <c r="AE24" s="4">
        <v>65</v>
      </c>
      <c r="AF24" s="5">
        <v>33.92</v>
      </c>
    </row>
    <row r="25" spans="1:32" ht="15" thickBot="1" x14ac:dyDescent="0.4"/>
    <row r="26" spans="1:32" ht="15" thickBot="1" x14ac:dyDescent="0.4">
      <c r="C26" s="49" t="s">
        <v>19</v>
      </c>
      <c r="D26" s="50"/>
      <c r="E26" s="50"/>
      <c r="F26" s="50"/>
      <c r="G26" s="50"/>
      <c r="H26" s="50"/>
      <c r="I26" s="50"/>
      <c r="J26" s="50"/>
      <c r="K26" s="50"/>
      <c r="L26" s="50"/>
      <c r="M26" s="50"/>
      <c r="N26" s="50"/>
      <c r="O26" s="50"/>
      <c r="P26" s="50"/>
      <c r="Q26" s="51"/>
      <c r="R26" s="52" t="s">
        <v>17</v>
      </c>
      <c r="S26" s="53"/>
      <c r="T26" s="53"/>
      <c r="U26" s="53"/>
      <c r="V26" s="53"/>
      <c r="W26" s="53"/>
      <c r="X26" s="53"/>
      <c r="Y26" s="53"/>
      <c r="Z26" s="53"/>
      <c r="AA26" s="53"/>
      <c r="AB26" s="53"/>
      <c r="AC26" s="53"/>
      <c r="AD26" s="53"/>
      <c r="AE26" s="53"/>
      <c r="AF26" s="54"/>
    </row>
    <row r="27" spans="1:32" ht="15" thickBot="1" x14ac:dyDescent="0.4">
      <c r="C27" s="55" t="s">
        <v>5</v>
      </c>
      <c r="D27" s="56"/>
      <c r="E27" s="57"/>
      <c r="F27" s="55" t="s">
        <v>6</v>
      </c>
      <c r="G27" s="56"/>
      <c r="H27" s="57"/>
      <c r="I27" s="55" t="s">
        <v>7</v>
      </c>
      <c r="J27" s="56"/>
      <c r="K27" s="57"/>
      <c r="L27" s="55" t="s">
        <v>8</v>
      </c>
      <c r="M27" s="56"/>
      <c r="N27" s="57"/>
      <c r="O27" s="55" t="s">
        <v>9</v>
      </c>
      <c r="P27" s="56"/>
      <c r="Q27" s="57"/>
      <c r="R27" s="55" t="s">
        <v>10</v>
      </c>
      <c r="S27" s="56"/>
      <c r="T27" s="57"/>
      <c r="U27" s="55" t="s">
        <v>11</v>
      </c>
      <c r="V27" s="56"/>
      <c r="W27" s="57"/>
      <c r="X27" s="55" t="s">
        <v>12</v>
      </c>
      <c r="Y27" s="56"/>
      <c r="Z27" s="57"/>
      <c r="AA27" s="55" t="s">
        <v>13</v>
      </c>
      <c r="AB27" s="56"/>
      <c r="AC27" s="57"/>
      <c r="AD27" s="55" t="s">
        <v>14</v>
      </c>
      <c r="AE27" s="56"/>
      <c r="AF27" s="57"/>
    </row>
    <row r="28" spans="1:32" ht="15" thickBot="1" x14ac:dyDescent="0.4">
      <c r="A28" s="61" t="s">
        <v>3</v>
      </c>
      <c r="B28" s="24">
        <v>0</v>
      </c>
      <c r="C28" s="25">
        <v>1.21</v>
      </c>
      <c r="D28" s="26">
        <v>0.4</v>
      </c>
      <c r="E28" s="27">
        <v>1.37</v>
      </c>
      <c r="F28" s="25">
        <v>0.96</v>
      </c>
      <c r="G28" s="26">
        <v>0.94</v>
      </c>
      <c r="H28" s="27">
        <v>1.1000000000000001</v>
      </c>
      <c r="I28" s="25">
        <v>0.81</v>
      </c>
      <c r="J28" s="26">
        <v>1.1399999999999999</v>
      </c>
      <c r="K28" s="27">
        <v>1.08</v>
      </c>
      <c r="L28" s="25">
        <v>1.01</v>
      </c>
      <c r="M28" s="26">
        <v>1.18</v>
      </c>
      <c r="N28" s="27">
        <v>0.85</v>
      </c>
      <c r="O28" s="25">
        <v>0.84</v>
      </c>
      <c r="P28" s="26">
        <v>1.65</v>
      </c>
      <c r="Q28" s="27">
        <v>0.72</v>
      </c>
      <c r="R28" s="25">
        <v>1.82</v>
      </c>
      <c r="S28" s="26">
        <v>0.4</v>
      </c>
      <c r="T28" s="27">
        <v>1.37</v>
      </c>
      <c r="U28" s="25">
        <v>0.52</v>
      </c>
      <c r="V28" s="26">
        <v>1.26</v>
      </c>
      <c r="W28" s="27">
        <v>1.52</v>
      </c>
      <c r="X28" s="25">
        <v>0.98</v>
      </c>
      <c r="Y28" s="26">
        <v>0.75</v>
      </c>
      <c r="Z28" s="27">
        <v>1.37</v>
      </c>
      <c r="AA28" s="25">
        <v>0.79</v>
      </c>
      <c r="AB28" s="26">
        <v>1.21</v>
      </c>
      <c r="AC28" s="27">
        <v>1.05</v>
      </c>
      <c r="AD28" s="25">
        <v>0.93</v>
      </c>
      <c r="AE28" s="26">
        <v>0.81</v>
      </c>
      <c r="AF28" s="27">
        <v>1.34</v>
      </c>
    </row>
    <row r="29" spans="1:32" ht="15" thickBot="1" x14ac:dyDescent="0.4">
      <c r="A29" s="62"/>
      <c r="B29" s="24">
        <v>0.1</v>
      </c>
      <c r="C29" s="6">
        <v>4.68</v>
      </c>
      <c r="D29" s="2">
        <v>2.2200000000000002</v>
      </c>
      <c r="E29" s="3">
        <v>5.28</v>
      </c>
      <c r="F29" s="6">
        <v>1.73</v>
      </c>
      <c r="G29" s="2">
        <v>1.45</v>
      </c>
      <c r="H29" s="3">
        <v>1.84</v>
      </c>
      <c r="I29" s="6">
        <v>3.47</v>
      </c>
      <c r="J29" s="2">
        <v>6.79</v>
      </c>
      <c r="K29" s="3">
        <v>5.22</v>
      </c>
      <c r="L29" s="6">
        <v>2.84</v>
      </c>
      <c r="M29" s="2">
        <v>12.39</v>
      </c>
      <c r="N29" s="3">
        <v>4.0999999999999996</v>
      </c>
      <c r="O29" s="6">
        <v>8.49</v>
      </c>
      <c r="P29" s="2">
        <v>11.75</v>
      </c>
      <c r="Q29" s="3">
        <v>4.63</v>
      </c>
      <c r="R29" s="6">
        <v>7.18</v>
      </c>
      <c r="S29" s="2">
        <v>2.2200000000000002</v>
      </c>
      <c r="T29" s="3">
        <v>5.28</v>
      </c>
      <c r="U29" s="6">
        <v>0.74</v>
      </c>
      <c r="V29" s="2">
        <v>1.07</v>
      </c>
      <c r="W29" s="3">
        <v>2.13</v>
      </c>
      <c r="X29" s="6">
        <v>0.7</v>
      </c>
      <c r="Y29" s="2">
        <v>0.25</v>
      </c>
      <c r="Z29" s="3">
        <v>0.61</v>
      </c>
      <c r="AA29" s="6">
        <v>4.68</v>
      </c>
      <c r="AB29" s="2">
        <v>6.77</v>
      </c>
      <c r="AC29" s="3">
        <v>4.8899999999999997</v>
      </c>
      <c r="AD29" s="6">
        <v>1.81</v>
      </c>
      <c r="AE29" s="2">
        <v>1.37</v>
      </c>
      <c r="AF29" s="3">
        <v>2.2400000000000002</v>
      </c>
    </row>
    <row r="30" spans="1:32" ht="15" thickBot="1" x14ac:dyDescent="0.4">
      <c r="A30" s="62"/>
      <c r="B30" s="24">
        <v>1</v>
      </c>
      <c r="C30" s="6">
        <v>9.3800000000000008</v>
      </c>
      <c r="D30" s="2">
        <v>4.68</v>
      </c>
      <c r="E30" s="3">
        <v>8.85</v>
      </c>
      <c r="F30" s="6">
        <v>3.2</v>
      </c>
      <c r="G30" s="2">
        <v>3.73</v>
      </c>
      <c r="H30" s="3">
        <v>3.88</v>
      </c>
      <c r="I30" s="6">
        <v>4.9000000000000004</v>
      </c>
      <c r="J30" s="2">
        <v>9.7899999999999991</v>
      </c>
      <c r="K30" s="3">
        <v>5.71</v>
      </c>
      <c r="L30" s="6">
        <v>4.83</v>
      </c>
      <c r="M30" s="2">
        <v>17.329999999999998</v>
      </c>
      <c r="N30" s="3">
        <v>10.39</v>
      </c>
      <c r="O30" s="6">
        <v>15.23</v>
      </c>
      <c r="P30" s="2">
        <v>9.9700000000000006</v>
      </c>
      <c r="Q30" s="3">
        <v>7.86</v>
      </c>
      <c r="R30" s="6">
        <v>3.86</v>
      </c>
      <c r="S30" s="2">
        <v>4.68</v>
      </c>
      <c r="T30" s="3">
        <v>8.85</v>
      </c>
      <c r="U30" s="6">
        <v>1.37</v>
      </c>
      <c r="V30" s="2">
        <v>2.19</v>
      </c>
      <c r="W30" s="3">
        <v>4.55</v>
      </c>
      <c r="X30" s="6">
        <v>0.75</v>
      </c>
      <c r="Y30" s="2">
        <v>1.81</v>
      </c>
      <c r="Z30" s="3">
        <v>0.7</v>
      </c>
      <c r="AA30" s="6">
        <v>6.29</v>
      </c>
      <c r="AB30" s="2">
        <v>10.07</v>
      </c>
      <c r="AC30" s="3">
        <v>9.11</v>
      </c>
      <c r="AD30" s="6">
        <v>3.33</v>
      </c>
      <c r="AE30" s="2">
        <v>2.5</v>
      </c>
      <c r="AF30" s="3">
        <v>4.16</v>
      </c>
    </row>
    <row r="31" spans="1:32" ht="15" thickBot="1" x14ac:dyDescent="0.4">
      <c r="A31" s="62"/>
      <c r="B31" s="24">
        <v>10</v>
      </c>
      <c r="C31" s="6">
        <v>6.17</v>
      </c>
      <c r="D31" s="2">
        <v>5.48</v>
      </c>
      <c r="E31" s="3">
        <v>4.54</v>
      </c>
      <c r="F31" s="6">
        <v>5.1100000000000003</v>
      </c>
      <c r="G31" s="2">
        <v>4.8600000000000003</v>
      </c>
      <c r="H31" s="3">
        <v>4.3</v>
      </c>
      <c r="I31" s="6">
        <v>4.55</v>
      </c>
      <c r="J31" s="2">
        <v>8.3000000000000007</v>
      </c>
      <c r="K31" s="3">
        <v>7.77</v>
      </c>
      <c r="L31" s="6">
        <v>4.53</v>
      </c>
      <c r="M31" s="2">
        <v>12.51</v>
      </c>
      <c r="N31" s="3">
        <v>4.8099999999999996</v>
      </c>
      <c r="O31" s="6">
        <v>5.92</v>
      </c>
      <c r="P31" s="2">
        <v>10.210000000000001</v>
      </c>
      <c r="Q31" s="3">
        <v>4.95</v>
      </c>
      <c r="R31" s="6">
        <v>5.85</v>
      </c>
      <c r="S31" s="2">
        <v>5.48</v>
      </c>
      <c r="T31" s="3">
        <v>4.54</v>
      </c>
      <c r="U31" s="6">
        <v>3.04</v>
      </c>
      <c r="V31" s="2">
        <v>3.7</v>
      </c>
      <c r="W31" s="3">
        <v>7.34</v>
      </c>
      <c r="X31" s="6">
        <v>2.5299999999999998</v>
      </c>
      <c r="Y31" s="2">
        <v>1.4</v>
      </c>
      <c r="Z31" s="3">
        <v>1.97</v>
      </c>
      <c r="AA31" s="6">
        <v>9.49</v>
      </c>
      <c r="AB31" s="2">
        <v>9.4600000000000009</v>
      </c>
      <c r="AC31" s="3">
        <v>7.68</v>
      </c>
      <c r="AD31" s="6">
        <v>5.27</v>
      </c>
      <c r="AE31" s="2">
        <v>3.25</v>
      </c>
      <c r="AF31" s="3">
        <v>4.24</v>
      </c>
    </row>
    <row r="32" spans="1:32" ht="15" thickBot="1" x14ac:dyDescent="0.4">
      <c r="A32" s="63"/>
      <c r="B32" s="24">
        <v>100</v>
      </c>
      <c r="C32" s="7">
        <v>4.45</v>
      </c>
      <c r="D32" s="4">
        <v>2.4700000000000002</v>
      </c>
      <c r="E32" s="5">
        <v>5.32</v>
      </c>
      <c r="F32" s="7">
        <v>4.3899999999999997</v>
      </c>
      <c r="G32" s="4">
        <v>2.87</v>
      </c>
      <c r="H32" s="5">
        <v>4.3899999999999997</v>
      </c>
      <c r="I32" s="7">
        <v>3.21</v>
      </c>
      <c r="J32" s="4">
        <v>6.39</v>
      </c>
      <c r="K32" s="5">
        <v>5.83</v>
      </c>
      <c r="L32" s="7">
        <v>3.66</v>
      </c>
      <c r="M32" s="4">
        <v>12.36</v>
      </c>
      <c r="N32" s="5">
        <v>4.3099999999999996</v>
      </c>
      <c r="O32" s="7">
        <v>5.5</v>
      </c>
      <c r="P32" s="4">
        <v>10.5</v>
      </c>
      <c r="Q32" s="5">
        <v>2.63</v>
      </c>
      <c r="R32" s="7">
        <v>6.08</v>
      </c>
      <c r="S32" s="4">
        <v>2.4700000000000002</v>
      </c>
      <c r="T32" s="5">
        <v>5.32</v>
      </c>
      <c r="U32" s="7">
        <v>2.84</v>
      </c>
      <c r="V32" s="4">
        <v>3.31</v>
      </c>
      <c r="W32" s="5">
        <v>4.62</v>
      </c>
      <c r="X32" s="7">
        <v>2.04</v>
      </c>
      <c r="Y32" s="4">
        <v>10.11</v>
      </c>
      <c r="Z32" s="5">
        <v>3.63</v>
      </c>
      <c r="AA32" s="7">
        <v>6.46</v>
      </c>
      <c r="AB32" s="4">
        <v>5.16</v>
      </c>
      <c r="AC32" s="5">
        <v>6.41</v>
      </c>
      <c r="AD32" s="7">
        <v>4.13</v>
      </c>
      <c r="AE32" s="4">
        <v>2.82</v>
      </c>
      <c r="AF32" s="5">
        <v>3.32</v>
      </c>
    </row>
    <row r="33" spans="1:32" ht="15" thickBot="1" x14ac:dyDescent="0.4"/>
    <row r="34" spans="1:32" ht="15" thickBot="1" x14ac:dyDescent="0.4">
      <c r="C34" s="49" t="s">
        <v>19</v>
      </c>
      <c r="D34" s="50"/>
      <c r="E34" s="50"/>
      <c r="F34" s="50"/>
      <c r="G34" s="50"/>
      <c r="H34" s="50"/>
      <c r="I34" s="50"/>
      <c r="J34" s="50"/>
      <c r="K34" s="50"/>
      <c r="L34" s="50"/>
      <c r="M34" s="50"/>
      <c r="N34" s="50"/>
      <c r="O34" s="50"/>
      <c r="P34" s="50"/>
      <c r="Q34" s="51"/>
      <c r="R34" s="52" t="s">
        <v>17</v>
      </c>
      <c r="S34" s="53"/>
      <c r="T34" s="53"/>
      <c r="U34" s="53"/>
      <c r="V34" s="53"/>
      <c r="W34" s="53"/>
      <c r="X34" s="53"/>
      <c r="Y34" s="53"/>
      <c r="Z34" s="53"/>
      <c r="AA34" s="53"/>
      <c r="AB34" s="53"/>
      <c r="AC34" s="53"/>
      <c r="AD34" s="53"/>
      <c r="AE34" s="53"/>
      <c r="AF34" s="54"/>
    </row>
    <row r="35" spans="1:32" ht="15" thickBot="1" x14ac:dyDescent="0.4">
      <c r="C35" s="55" t="s">
        <v>5</v>
      </c>
      <c r="D35" s="56"/>
      <c r="E35" s="57"/>
      <c r="F35" s="55" t="s">
        <v>6</v>
      </c>
      <c r="G35" s="56"/>
      <c r="H35" s="57"/>
      <c r="I35" s="55" t="s">
        <v>7</v>
      </c>
      <c r="J35" s="56"/>
      <c r="K35" s="57"/>
      <c r="L35" s="55" t="s">
        <v>8</v>
      </c>
      <c r="M35" s="56"/>
      <c r="N35" s="57"/>
      <c r="O35" s="55" t="s">
        <v>9</v>
      </c>
      <c r="P35" s="56"/>
      <c r="Q35" s="57"/>
      <c r="R35" s="55" t="s">
        <v>10</v>
      </c>
      <c r="S35" s="56"/>
      <c r="T35" s="57"/>
      <c r="U35" s="55" t="s">
        <v>11</v>
      </c>
      <c r="V35" s="56"/>
      <c r="W35" s="57"/>
      <c r="X35" s="55" t="s">
        <v>12</v>
      </c>
      <c r="Y35" s="56"/>
      <c r="Z35" s="57"/>
      <c r="AA35" s="55" t="s">
        <v>13</v>
      </c>
      <c r="AB35" s="56"/>
      <c r="AC35" s="57"/>
      <c r="AD35" s="55" t="s">
        <v>14</v>
      </c>
      <c r="AE35" s="56"/>
      <c r="AF35" s="57"/>
    </row>
    <row r="36" spans="1:32" ht="15" thickBot="1" x14ac:dyDescent="0.4">
      <c r="A36" s="61" t="s">
        <v>4</v>
      </c>
      <c r="B36" s="24">
        <v>0</v>
      </c>
      <c r="C36" s="25">
        <v>1.48</v>
      </c>
      <c r="D36" s="26">
        <v>1.1499999999999999</v>
      </c>
      <c r="E36" s="27">
        <v>0.59</v>
      </c>
      <c r="F36" s="25">
        <v>1.1000000000000001</v>
      </c>
      <c r="G36" s="26">
        <v>1.05</v>
      </c>
      <c r="H36" s="27">
        <v>0.87</v>
      </c>
      <c r="I36" s="25">
        <v>0.81</v>
      </c>
      <c r="J36" s="26">
        <v>1.1299999999999999</v>
      </c>
      <c r="K36" s="27">
        <v>1.1000000000000001</v>
      </c>
      <c r="L36" s="25">
        <v>0.96</v>
      </c>
      <c r="M36" s="26">
        <v>1.39</v>
      </c>
      <c r="N36" s="27">
        <v>0.75</v>
      </c>
      <c r="O36" s="25">
        <v>0.81</v>
      </c>
      <c r="P36" s="26">
        <v>1.42</v>
      </c>
      <c r="Q36" s="27">
        <v>0.87</v>
      </c>
      <c r="R36" s="25">
        <v>1.75</v>
      </c>
      <c r="S36" s="26">
        <v>0.35</v>
      </c>
      <c r="T36" s="27">
        <v>1.64</v>
      </c>
      <c r="U36" s="25">
        <v>0.64</v>
      </c>
      <c r="V36" s="26">
        <v>1.43</v>
      </c>
      <c r="W36" s="27">
        <v>1.0900000000000001</v>
      </c>
      <c r="X36" s="25">
        <v>1.1100000000000001</v>
      </c>
      <c r="Y36" s="26">
        <v>0.73</v>
      </c>
      <c r="Z36" s="27">
        <v>1.23</v>
      </c>
      <c r="AA36" s="25">
        <v>0.75</v>
      </c>
      <c r="AB36" s="26">
        <v>1.1000000000000001</v>
      </c>
      <c r="AC36" s="27">
        <v>1.21</v>
      </c>
      <c r="AD36" s="25">
        <v>0.95</v>
      </c>
      <c r="AE36" s="26">
        <v>0.99</v>
      </c>
      <c r="AF36" s="27">
        <v>1.06</v>
      </c>
    </row>
    <row r="37" spans="1:32" ht="15" thickBot="1" x14ac:dyDescent="0.4">
      <c r="A37" s="62"/>
      <c r="B37" s="24">
        <v>0.1</v>
      </c>
      <c r="C37" s="6">
        <v>3.95</v>
      </c>
      <c r="D37" s="2">
        <v>3.31</v>
      </c>
      <c r="E37" s="3">
        <v>1.44</v>
      </c>
      <c r="F37" s="6">
        <v>1.52</v>
      </c>
      <c r="G37" s="2">
        <v>1.65</v>
      </c>
      <c r="H37" s="3">
        <v>1.19</v>
      </c>
      <c r="I37" s="6">
        <v>1.68</v>
      </c>
      <c r="J37" s="2">
        <v>3.02</v>
      </c>
      <c r="K37" s="3">
        <v>2.13</v>
      </c>
      <c r="L37" s="6">
        <v>1.32</v>
      </c>
      <c r="M37" s="2">
        <v>6.2</v>
      </c>
      <c r="N37" s="3">
        <v>1.63</v>
      </c>
      <c r="O37" s="6">
        <v>3.12</v>
      </c>
      <c r="P37" s="2">
        <v>3.28</v>
      </c>
      <c r="Q37" s="3">
        <v>1.96</v>
      </c>
      <c r="R37" s="6">
        <v>4.97</v>
      </c>
      <c r="S37" s="2">
        <v>1.57</v>
      </c>
      <c r="T37" s="3">
        <v>4.53</v>
      </c>
      <c r="U37" s="6">
        <v>0.76</v>
      </c>
      <c r="V37" s="2">
        <v>1.61</v>
      </c>
      <c r="W37" s="3">
        <v>1.61</v>
      </c>
      <c r="X37" s="6">
        <v>0.62</v>
      </c>
      <c r="Y37" s="2">
        <v>0.24</v>
      </c>
      <c r="Z37" s="3">
        <v>0.27</v>
      </c>
      <c r="AA37" s="6">
        <v>1.74</v>
      </c>
      <c r="AB37" s="2">
        <v>2</v>
      </c>
      <c r="AC37" s="3">
        <v>2.56</v>
      </c>
      <c r="AD37" s="6">
        <v>1.5</v>
      </c>
      <c r="AE37" s="2">
        <v>1.35</v>
      </c>
      <c r="AF37" s="3">
        <v>1.62</v>
      </c>
    </row>
    <row r="38" spans="1:32" ht="15" thickBot="1" x14ac:dyDescent="0.4">
      <c r="A38" s="62"/>
      <c r="B38" s="24">
        <v>1</v>
      </c>
      <c r="C38" s="6">
        <v>8.93</v>
      </c>
      <c r="D38" s="2">
        <v>3.11</v>
      </c>
      <c r="E38" s="3">
        <v>9.6</v>
      </c>
      <c r="F38" s="6">
        <v>1.85</v>
      </c>
      <c r="G38" s="2">
        <v>2.76</v>
      </c>
      <c r="H38" s="3">
        <v>1.63</v>
      </c>
      <c r="I38" s="6">
        <v>2.4300000000000002</v>
      </c>
      <c r="J38" s="2">
        <v>4.84</v>
      </c>
      <c r="K38" s="3">
        <v>3.14</v>
      </c>
      <c r="L38" s="6">
        <v>2.14</v>
      </c>
      <c r="M38" s="2">
        <v>9.08</v>
      </c>
      <c r="N38" s="3">
        <v>4.1100000000000003</v>
      </c>
      <c r="O38" s="6">
        <v>4.79</v>
      </c>
      <c r="P38" s="2">
        <v>2.67</v>
      </c>
      <c r="Q38" s="3">
        <v>3.6</v>
      </c>
      <c r="R38" s="6">
        <v>3.22</v>
      </c>
      <c r="S38" s="2">
        <v>3.47</v>
      </c>
      <c r="T38" s="3">
        <v>7.62</v>
      </c>
      <c r="U38" s="6">
        <v>1.04</v>
      </c>
      <c r="V38" s="2">
        <v>2.39</v>
      </c>
      <c r="W38" s="3">
        <v>2.5</v>
      </c>
      <c r="X38" s="6">
        <v>0.5</v>
      </c>
      <c r="Y38" s="2">
        <v>2.68</v>
      </c>
      <c r="Z38" s="3">
        <v>0.86</v>
      </c>
      <c r="AA38" s="6">
        <v>1.94</v>
      </c>
      <c r="AB38" s="2">
        <v>3.13</v>
      </c>
      <c r="AC38" s="3">
        <v>3.49</v>
      </c>
      <c r="AD38" s="6">
        <v>1.81</v>
      </c>
      <c r="AE38" s="2">
        <v>1.96</v>
      </c>
      <c r="AF38" s="3">
        <v>2.09</v>
      </c>
    </row>
    <row r="39" spans="1:32" ht="15" thickBot="1" x14ac:dyDescent="0.4">
      <c r="A39" s="62"/>
      <c r="B39" s="24">
        <v>10</v>
      </c>
      <c r="C39" s="6">
        <v>6.12</v>
      </c>
      <c r="D39" s="2">
        <v>3.66</v>
      </c>
      <c r="E39" s="3">
        <v>16.43</v>
      </c>
      <c r="F39" s="6">
        <v>3.37</v>
      </c>
      <c r="G39" s="2">
        <v>3.63</v>
      </c>
      <c r="H39" s="3">
        <v>2.44</v>
      </c>
      <c r="I39" s="6">
        <v>2.63</v>
      </c>
      <c r="J39" s="2">
        <v>4.1900000000000004</v>
      </c>
      <c r="K39" s="3">
        <v>4.04</v>
      </c>
      <c r="L39" s="6">
        <v>2.06</v>
      </c>
      <c r="M39" s="2">
        <v>8.06</v>
      </c>
      <c r="N39" s="3">
        <v>2.4500000000000002</v>
      </c>
      <c r="O39" s="6">
        <v>2.56</v>
      </c>
      <c r="P39" s="2">
        <v>4.84</v>
      </c>
      <c r="Q39" s="3">
        <v>3.48</v>
      </c>
      <c r="R39" s="6">
        <v>5.5</v>
      </c>
      <c r="S39" s="2">
        <v>1.88</v>
      </c>
      <c r="T39" s="3">
        <v>5.35</v>
      </c>
      <c r="U39" s="6">
        <v>1.84</v>
      </c>
      <c r="V39" s="2">
        <v>2.67</v>
      </c>
      <c r="W39" s="3">
        <v>3.15</v>
      </c>
      <c r="X39" s="6">
        <v>0.99</v>
      </c>
      <c r="Y39" s="2">
        <v>0.33</v>
      </c>
      <c r="Z39" s="3">
        <v>0.56000000000000005</v>
      </c>
      <c r="AA39" s="6">
        <v>3.21</v>
      </c>
      <c r="AB39" s="2">
        <v>3.03</v>
      </c>
      <c r="AC39" s="3">
        <v>3.79</v>
      </c>
      <c r="AD39" s="6">
        <v>3.01</v>
      </c>
      <c r="AE39" s="2">
        <v>2.4</v>
      </c>
      <c r="AF39" s="3">
        <v>2.44</v>
      </c>
    </row>
    <row r="40" spans="1:32" ht="15" thickBot="1" x14ac:dyDescent="0.4">
      <c r="A40" s="63"/>
      <c r="B40" s="24">
        <v>100</v>
      </c>
      <c r="C40" s="7">
        <v>4.29</v>
      </c>
      <c r="D40" s="4">
        <v>2.37</v>
      </c>
      <c r="E40" s="5">
        <v>1.94</v>
      </c>
      <c r="F40" s="7">
        <v>2.88</v>
      </c>
      <c r="G40" s="4">
        <v>2.89</v>
      </c>
      <c r="H40" s="5">
        <v>2.35</v>
      </c>
      <c r="I40" s="7">
        <v>2.0299999999999998</v>
      </c>
      <c r="J40" s="4">
        <v>3.52</v>
      </c>
      <c r="K40" s="5">
        <v>3.74</v>
      </c>
      <c r="L40" s="7">
        <v>2.12</v>
      </c>
      <c r="M40" s="4">
        <v>8.06</v>
      </c>
      <c r="N40" s="5">
        <v>2.39</v>
      </c>
      <c r="O40" s="7">
        <v>2.1800000000000002</v>
      </c>
      <c r="P40" s="4">
        <v>3.71</v>
      </c>
      <c r="Q40" s="5">
        <v>1.3</v>
      </c>
      <c r="R40" s="7">
        <v>5.98</v>
      </c>
      <c r="S40" s="4">
        <v>2.75</v>
      </c>
      <c r="T40" s="5">
        <v>7.28</v>
      </c>
      <c r="U40" s="7">
        <v>1.59</v>
      </c>
      <c r="V40" s="4">
        <v>2.87</v>
      </c>
      <c r="W40" s="5">
        <v>2.33</v>
      </c>
      <c r="X40" s="7">
        <v>0.6</v>
      </c>
      <c r="Y40" s="4">
        <v>5.51</v>
      </c>
      <c r="Z40" s="5">
        <v>1.07</v>
      </c>
      <c r="AA40" s="7">
        <v>2.92</v>
      </c>
      <c r="AB40" s="4">
        <v>2.2400000000000002</v>
      </c>
      <c r="AC40" s="5">
        <v>2.83</v>
      </c>
      <c r="AD40" s="7">
        <v>2.92</v>
      </c>
      <c r="AE40" s="4">
        <v>2.06</v>
      </c>
      <c r="AF40" s="5">
        <v>2.39</v>
      </c>
    </row>
  </sheetData>
  <mergeCells count="65">
    <mergeCell ref="AA35:AC35"/>
    <mergeCell ref="AD35:AF35"/>
    <mergeCell ref="A36:A40"/>
    <mergeCell ref="C34:Q34"/>
    <mergeCell ref="R34:AF34"/>
    <mergeCell ref="C35:E35"/>
    <mergeCell ref="F35:H35"/>
    <mergeCell ref="I35:K35"/>
    <mergeCell ref="L35:N35"/>
    <mergeCell ref="O35:Q35"/>
    <mergeCell ref="R35:T35"/>
    <mergeCell ref="U35:W35"/>
    <mergeCell ref="X35:Z35"/>
    <mergeCell ref="A28:A32"/>
    <mergeCell ref="AA19:AC19"/>
    <mergeCell ref="AD19:AF19"/>
    <mergeCell ref="A20:A24"/>
    <mergeCell ref="C26:Q26"/>
    <mergeCell ref="R26:AF26"/>
    <mergeCell ref="C27:E27"/>
    <mergeCell ref="F27:H27"/>
    <mergeCell ref="I27:K27"/>
    <mergeCell ref="L27:N27"/>
    <mergeCell ref="O27:Q27"/>
    <mergeCell ref="R27:T27"/>
    <mergeCell ref="U27:W27"/>
    <mergeCell ref="X27:Z27"/>
    <mergeCell ref="AA27:AC27"/>
    <mergeCell ref="AD27:AF27"/>
    <mergeCell ref="C18:Q18"/>
    <mergeCell ref="R18:AF18"/>
    <mergeCell ref="C19:E19"/>
    <mergeCell ref="F19:H19"/>
    <mergeCell ref="I19:K19"/>
    <mergeCell ref="L19:N19"/>
    <mergeCell ref="O19:Q19"/>
    <mergeCell ref="R19:T19"/>
    <mergeCell ref="U19:W19"/>
    <mergeCell ref="X19:Z19"/>
    <mergeCell ref="A12:A16"/>
    <mergeCell ref="AA3:AC3"/>
    <mergeCell ref="AD3:AF3"/>
    <mergeCell ref="A4:A8"/>
    <mergeCell ref="C10:Q10"/>
    <mergeCell ref="R10:AF10"/>
    <mergeCell ref="C11:E11"/>
    <mergeCell ref="F11:H11"/>
    <mergeCell ref="I11:K11"/>
    <mergeCell ref="L11:N11"/>
    <mergeCell ref="O11:Q11"/>
    <mergeCell ref="R11:T11"/>
    <mergeCell ref="U11:W11"/>
    <mergeCell ref="X11:Z11"/>
    <mergeCell ref="AA11:AC11"/>
    <mergeCell ref="AD11:AF11"/>
    <mergeCell ref="C2:Q2"/>
    <mergeCell ref="R2:AF2"/>
    <mergeCell ref="C3:E3"/>
    <mergeCell ref="F3:H3"/>
    <mergeCell ref="I3:K3"/>
    <mergeCell ref="L3:N3"/>
    <mergeCell ref="O3:Q3"/>
    <mergeCell ref="R3:T3"/>
    <mergeCell ref="U3:W3"/>
    <mergeCell ref="X3:Z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A145-E29E-420A-BED4-427EDD3D1845}">
  <dimension ref="A1:AF30"/>
  <sheetViews>
    <sheetView tabSelected="1" workbookViewId="0"/>
  </sheetViews>
  <sheetFormatPr defaultRowHeight="14.5" x14ac:dyDescent="0.35"/>
  <sheetData>
    <row r="1" spans="1:32" ht="15" thickBot="1" x14ac:dyDescent="0.4">
      <c r="A1" t="s">
        <v>46</v>
      </c>
    </row>
    <row r="2" spans="1:32" ht="15" thickBot="1" x14ac:dyDescent="0.4">
      <c r="C2" s="49" t="s">
        <v>19</v>
      </c>
      <c r="D2" s="50"/>
      <c r="E2" s="50"/>
      <c r="F2" s="50"/>
      <c r="G2" s="50"/>
      <c r="H2" s="50"/>
      <c r="I2" s="50"/>
      <c r="J2" s="50"/>
      <c r="K2" s="50"/>
      <c r="L2" s="50"/>
      <c r="M2" s="50"/>
      <c r="N2" s="50"/>
      <c r="O2" s="50"/>
      <c r="P2" s="50"/>
      <c r="Q2" s="51"/>
      <c r="R2" s="52" t="s">
        <v>17</v>
      </c>
      <c r="S2" s="53"/>
      <c r="T2" s="53"/>
      <c r="U2" s="53"/>
      <c r="V2" s="53"/>
      <c r="W2" s="53"/>
      <c r="X2" s="53"/>
      <c r="Y2" s="53"/>
      <c r="Z2" s="53"/>
      <c r="AA2" s="53"/>
      <c r="AB2" s="53"/>
      <c r="AC2" s="53"/>
      <c r="AD2" s="53"/>
      <c r="AE2" s="53"/>
      <c r="AF2" s="54"/>
    </row>
    <row r="3" spans="1:32" x14ac:dyDescent="0.35">
      <c r="A3" s="81" t="s">
        <v>0</v>
      </c>
      <c r="B3" s="80" t="s">
        <v>45</v>
      </c>
      <c r="C3" s="64" t="s">
        <v>5</v>
      </c>
      <c r="D3" s="65"/>
      <c r="E3" s="66"/>
      <c r="F3" s="64" t="s">
        <v>6</v>
      </c>
      <c r="G3" s="65"/>
      <c r="H3" s="66"/>
      <c r="I3" s="64" t="s">
        <v>7</v>
      </c>
      <c r="J3" s="65"/>
      <c r="K3" s="66"/>
      <c r="L3" s="64" t="s">
        <v>8</v>
      </c>
      <c r="M3" s="65"/>
      <c r="N3" s="66"/>
      <c r="O3" s="64" t="s">
        <v>9</v>
      </c>
      <c r="P3" s="65"/>
      <c r="Q3" s="66"/>
      <c r="R3" s="64" t="s">
        <v>10</v>
      </c>
      <c r="S3" s="65"/>
      <c r="T3" s="66"/>
      <c r="U3" s="64" t="s">
        <v>11</v>
      </c>
      <c r="V3" s="65"/>
      <c r="W3" s="66"/>
      <c r="X3" s="64" t="s">
        <v>12</v>
      </c>
      <c r="Y3" s="65"/>
      <c r="Z3" s="66"/>
      <c r="AA3" s="64" t="s">
        <v>13</v>
      </c>
      <c r="AB3" s="65"/>
      <c r="AC3" s="66"/>
      <c r="AD3" s="64" t="s">
        <v>14</v>
      </c>
      <c r="AE3" s="65"/>
      <c r="AF3" s="66"/>
    </row>
    <row r="4" spans="1:32" x14ac:dyDescent="0.35">
      <c r="A4" s="79"/>
      <c r="B4" s="78" t="s">
        <v>16</v>
      </c>
      <c r="C4" s="6">
        <v>0.48</v>
      </c>
      <c r="D4" s="2">
        <v>0.97</v>
      </c>
      <c r="E4" s="3">
        <v>2.14</v>
      </c>
      <c r="F4" s="6">
        <v>0.67</v>
      </c>
      <c r="G4" s="2">
        <v>0.95</v>
      </c>
      <c r="H4" s="3">
        <v>1.58</v>
      </c>
      <c r="I4" s="6">
        <v>1.31</v>
      </c>
      <c r="J4" s="2">
        <v>1.08</v>
      </c>
      <c r="K4" s="3">
        <v>0.71</v>
      </c>
      <c r="L4" s="6">
        <v>1.53</v>
      </c>
      <c r="M4" s="2">
        <v>0.99</v>
      </c>
      <c r="N4" s="3">
        <v>0.66</v>
      </c>
      <c r="O4" s="6">
        <v>0.82</v>
      </c>
      <c r="P4" s="2">
        <v>1.41</v>
      </c>
      <c r="Q4" s="3">
        <v>0.86</v>
      </c>
      <c r="R4" s="6">
        <v>1.73</v>
      </c>
      <c r="S4" s="2">
        <v>0.42</v>
      </c>
      <c r="T4" s="3">
        <v>1.38</v>
      </c>
      <c r="U4" s="6">
        <v>0.96</v>
      </c>
      <c r="V4" s="2">
        <v>1.46</v>
      </c>
      <c r="W4" s="3">
        <v>0.71</v>
      </c>
      <c r="X4" s="6">
        <v>1.44</v>
      </c>
      <c r="Y4" s="2">
        <v>0.61</v>
      </c>
      <c r="Z4" s="3">
        <v>1.1399999999999999</v>
      </c>
      <c r="AA4" s="6">
        <v>0.78</v>
      </c>
      <c r="AB4" s="2">
        <v>1.0900000000000001</v>
      </c>
      <c r="AC4" s="3">
        <v>1.17</v>
      </c>
      <c r="AD4" s="6">
        <v>0.78</v>
      </c>
      <c r="AE4" s="2">
        <v>0.81</v>
      </c>
      <c r="AF4" s="3">
        <v>1.59</v>
      </c>
    </row>
    <row r="5" spans="1:32" x14ac:dyDescent="0.35">
      <c r="A5" s="79"/>
      <c r="B5" s="78" t="s">
        <v>44</v>
      </c>
      <c r="C5" s="6">
        <v>2525.64</v>
      </c>
      <c r="D5" s="2">
        <v>2676.17</v>
      </c>
      <c r="E5" s="3">
        <v>6913.55</v>
      </c>
      <c r="F5" s="6">
        <v>7200.49</v>
      </c>
      <c r="G5" s="2">
        <v>50194.69</v>
      </c>
      <c r="H5" s="3">
        <v>60218.400000000001</v>
      </c>
      <c r="I5" s="6">
        <v>12164.56</v>
      </c>
      <c r="J5" s="2">
        <v>2775.25</v>
      </c>
      <c r="K5" s="3">
        <v>4529.03</v>
      </c>
      <c r="L5" s="6">
        <v>71320.73</v>
      </c>
      <c r="M5" s="2">
        <v>46990.52</v>
      </c>
      <c r="N5" s="3">
        <v>12546.72</v>
      </c>
      <c r="O5" s="6">
        <v>12897.89</v>
      </c>
      <c r="P5" s="2">
        <v>28045.759999999998</v>
      </c>
      <c r="Q5" s="3">
        <v>15247.94</v>
      </c>
      <c r="R5" s="6">
        <v>2403.2199999999998</v>
      </c>
      <c r="S5" s="2">
        <v>1234.3599999999999</v>
      </c>
      <c r="T5" s="3">
        <v>2484.79</v>
      </c>
      <c r="U5" s="6">
        <v>11621.34</v>
      </c>
      <c r="V5" s="2">
        <v>13357.97</v>
      </c>
      <c r="W5" s="3">
        <v>56563.11</v>
      </c>
      <c r="X5" s="6">
        <v>1793.07</v>
      </c>
      <c r="Y5" s="2">
        <v>20447.57</v>
      </c>
      <c r="Z5" s="3">
        <v>4152.95</v>
      </c>
      <c r="AA5" s="6">
        <v>18669.75</v>
      </c>
      <c r="AB5" s="2">
        <v>7645.32</v>
      </c>
      <c r="AC5" s="3">
        <v>5263.99</v>
      </c>
      <c r="AD5" s="6">
        <v>1854.59</v>
      </c>
      <c r="AE5" s="2">
        <v>8272.75</v>
      </c>
      <c r="AF5" s="3">
        <v>8496.59</v>
      </c>
    </row>
    <row r="6" spans="1:32" ht="15" thickBot="1" x14ac:dyDescent="0.4">
      <c r="A6" s="77"/>
      <c r="B6" s="76" t="s">
        <v>43</v>
      </c>
      <c r="C6" s="7">
        <v>22574.45</v>
      </c>
      <c r="D6" s="4">
        <v>31069.06</v>
      </c>
      <c r="E6" s="5">
        <v>34951.730000000003</v>
      </c>
      <c r="F6" s="7">
        <v>42818.48</v>
      </c>
      <c r="G6" s="4">
        <v>40095.5</v>
      </c>
      <c r="H6" s="5">
        <v>185330.92</v>
      </c>
      <c r="I6" s="7">
        <v>3733.71</v>
      </c>
      <c r="J6" s="4">
        <v>3882.08</v>
      </c>
      <c r="K6" s="5">
        <v>5476.02</v>
      </c>
      <c r="L6" s="7">
        <v>257955.8</v>
      </c>
      <c r="M6" s="4">
        <v>253859.57</v>
      </c>
      <c r="N6" s="5">
        <v>217626.34</v>
      </c>
      <c r="O6" s="7">
        <v>191983.81</v>
      </c>
      <c r="P6" s="4">
        <v>138219.56</v>
      </c>
      <c r="Q6" s="5">
        <v>98777.93</v>
      </c>
      <c r="R6" s="7">
        <v>40851.24</v>
      </c>
      <c r="S6" s="4">
        <v>72325.399999999994</v>
      </c>
      <c r="T6" s="5">
        <v>62945.279999999999</v>
      </c>
      <c r="U6" s="7">
        <v>105560.44</v>
      </c>
      <c r="V6" s="4">
        <v>127402.2</v>
      </c>
      <c r="W6" s="5">
        <v>71394.47</v>
      </c>
      <c r="X6" s="7">
        <v>151204.31</v>
      </c>
      <c r="Y6" s="4">
        <v>163493.32</v>
      </c>
      <c r="Z6" s="5">
        <v>205184.37</v>
      </c>
      <c r="AA6" s="7">
        <v>139232.29999999999</v>
      </c>
      <c r="AB6" s="4">
        <v>143298.79</v>
      </c>
      <c r="AC6" s="5">
        <v>124886.89</v>
      </c>
      <c r="AD6" s="7">
        <v>52418.01</v>
      </c>
      <c r="AE6" s="4">
        <v>50324.27</v>
      </c>
      <c r="AF6" s="5">
        <v>36399.67</v>
      </c>
    </row>
    <row r="7" spans="1:32" ht="15" thickBot="1" x14ac:dyDescent="0.4"/>
    <row r="8" spans="1:32" ht="15" thickBot="1" x14ac:dyDescent="0.4">
      <c r="C8" s="49" t="s">
        <v>19</v>
      </c>
      <c r="D8" s="50"/>
      <c r="E8" s="50"/>
      <c r="F8" s="50"/>
      <c r="G8" s="50"/>
      <c r="H8" s="50"/>
      <c r="I8" s="50"/>
      <c r="J8" s="50"/>
      <c r="K8" s="50"/>
      <c r="L8" s="50"/>
      <c r="M8" s="50"/>
      <c r="N8" s="50"/>
      <c r="O8" s="50"/>
      <c r="P8" s="50"/>
      <c r="Q8" s="51"/>
      <c r="R8" s="52" t="s">
        <v>17</v>
      </c>
      <c r="S8" s="53"/>
      <c r="T8" s="53"/>
      <c r="U8" s="53"/>
      <c r="V8" s="53"/>
      <c r="W8" s="53"/>
      <c r="X8" s="53"/>
      <c r="Y8" s="53"/>
      <c r="Z8" s="53"/>
      <c r="AA8" s="53"/>
      <c r="AB8" s="53"/>
      <c r="AC8" s="53"/>
      <c r="AD8" s="53"/>
      <c r="AE8" s="53"/>
      <c r="AF8" s="54"/>
    </row>
    <row r="9" spans="1:32" x14ac:dyDescent="0.35">
      <c r="A9" s="81" t="s">
        <v>1</v>
      </c>
      <c r="B9" s="80" t="s">
        <v>45</v>
      </c>
      <c r="C9" s="64" t="s">
        <v>5</v>
      </c>
      <c r="D9" s="65"/>
      <c r="E9" s="66"/>
      <c r="F9" s="64" t="s">
        <v>6</v>
      </c>
      <c r="G9" s="65"/>
      <c r="H9" s="66"/>
      <c r="I9" s="64" t="s">
        <v>7</v>
      </c>
      <c r="J9" s="65"/>
      <c r="K9" s="66"/>
      <c r="L9" s="64" t="s">
        <v>8</v>
      </c>
      <c r="M9" s="65"/>
      <c r="N9" s="66"/>
      <c r="O9" s="64" t="s">
        <v>9</v>
      </c>
      <c r="P9" s="65"/>
      <c r="Q9" s="66"/>
      <c r="R9" s="64" t="s">
        <v>10</v>
      </c>
      <c r="S9" s="65"/>
      <c r="T9" s="66"/>
      <c r="U9" s="64" t="s">
        <v>11</v>
      </c>
      <c r="V9" s="65"/>
      <c r="W9" s="66"/>
      <c r="X9" s="64" t="s">
        <v>12</v>
      </c>
      <c r="Y9" s="65"/>
      <c r="Z9" s="66"/>
      <c r="AA9" s="64" t="s">
        <v>13</v>
      </c>
      <c r="AB9" s="65"/>
      <c r="AC9" s="66"/>
      <c r="AD9" s="64" t="s">
        <v>14</v>
      </c>
      <c r="AE9" s="65"/>
      <c r="AF9" s="66"/>
    </row>
    <row r="10" spans="1:32" x14ac:dyDescent="0.35">
      <c r="A10" s="79"/>
      <c r="B10" s="78" t="s">
        <v>16</v>
      </c>
      <c r="C10" s="6">
        <v>1.3</v>
      </c>
      <c r="D10" s="2">
        <v>1.59</v>
      </c>
      <c r="E10" s="3">
        <v>0.49</v>
      </c>
      <c r="F10" s="6">
        <v>1.26</v>
      </c>
      <c r="G10" s="2">
        <v>0.75</v>
      </c>
      <c r="H10" s="3">
        <v>1.06</v>
      </c>
      <c r="I10" s="6">
        <v>0.78</v>
      </c>
      <c r="J10" s="2">
        <v>2.15</v>
      </c>
      <c r="K10" s="3">
        <v>0.6</v>
      </c>
      <c r="L10" s="6">
        <v>1.86</v>
      </c>
      <c r="M10" s="2">
        <v>1.1100000000000001</v>
      </c>
      <c r="N10" s="3">
        <v>0.48</v>
      </c>
      <c r="O10" s="6">
        <v>1.04</v>
      </c>
      <c r="P10" s="2">
        <v>1.06</v>
      </c>
      <c r="Q10" s="3">
        <v>0.91</v>
      </c>
      <c r="R10" s="6">
        <v>3.15</v>
      </c>
      <c r="S10" s="2">
        <v>0.35</v>
      </c>
      <c r="T10" s="3">
        <v>0.91</v>
      </c>
      <c r="U10" s="6">
        <v>0.7</v>
      </c>
      <c r="V10" s="2">
        <v>1.05</v>
      </c>
      <c r="W10" s="3">
        <v>1.36</v>
      </c>
      <c r="X10" s="6">
        <v>1.6</v>
      </c>
      <c r="Y10" s="2">
        <v>0.51</v>
      </c>
      <c r="Z10" s="3">
        <v>1.23</v>
      </c>
      <c r="AA10" s="6">
        <v>0.86</v>
      </c>
      <c r="AB10" s="2">
        <v>1.26</v>
      </c>
      <c r="AC10" s="3">
        <v>0.93</v>
      </c>
      <c r="AD10" s="6">
        <v>0.75</v>
      </c>
      <c r="AE10" s="2">
        <v>0.88</v>
      </c>
      <c r="AF10" s="3">
        <v>1.52</v>
      </c>
    </row>
    <row r="11" spans="1:32" x14ac:dyDescent="0.35">
      <c r="A11" s="79"/>
      <c r="B11" s="78" t="s">
        <v>44</v>
      </c>
      <c r="C11" s="6">
        <v>1.43</v>
      </c>
      <c r="D11" s="2">
        <v>1.1200000000000001</v>
      </c>
      <c r="E11" s="3">
        <v>0.79</v>
      </c>
      <c r="F11" s="6">
        <v>0.78</v>
      </c>
      <c r="G11" s="2">
        <v>0.9</v>
      </c>
      <c r="H11" s="3">
        <v>0.95</v>
      </c>
      <c r="I11" s="6">
        <v>1.26</v>
      </c>
      <c r="J11" s="2">
        <v>1.4</v>
      </c>
      <c r="K11" s="3">
        <v>0.94</v>
      </c>
      <c r="L11" s="6">
        <v>3.19</v>
      </c>
      <c r="M11" s="2">
        <v>3.18</v>
      </c>
      <c r="N11" s="3">
        <v>0.64</v>
      </c>
      <c r="O11" s="6">
        <v>0.46</v>
      </c>
      <c r="P11" s="2">
        <v>1.01</v>
      </c>
      <c r="Q11" s="3">
        <v>0.38</v>
      </c>
      <c r="R11" s="6">
        <v>1.51</v>
      </c>
      <c r="S11" s="2">
        <v>0.89</v>
      </c>
      <c r="T11" s="3">
        <v>1.2</v>
      </c>
      <c r="U11" s="6">
        <v>1.97</v>
      </c>
      <c r="V11" s="2">
        <v>0.64</v>
      </c>
      <c r="W11" s="3">
        <v>0.85</v>
      </c>
      <c r="X11" s="6">
        <v>0.24</v>
      </c>
      <c r="Y11" s="2">
        <v>4.32</v>
      </c>
      <c r="Z11" s="3">
        <v>0.36</v>
      </c>
      <c r="AA11" s="6">
        <v>0.96</v>
      </c>
      <c r="AB11" s="2">
        <v>1.39</v>
      </c>
      <c r="AC11" s="3">
        <v>0.67</v>
      </c>
      <c r="AD11" s="6">
        <v>0.99</v>
      </c>
      <c r="AE11" s="2">
        <v>0.68</v>
      </c>
      <c r="AF11" s="3">
        <v>1.61</v>
      </c>
    </row>
    <row r="12" spans="1:32" ht="15" thickBot="1" x14ac:dyDescent="0.4">
      <c r="A12" s="77"/>
      <c r="B12" s="76" t="s">
        <v>43</v>
      </c>
      <c r="C12" s="7">
        <v>10.72</v>
      </c>
      <c r="D12" s="4">
        <v>15.8</v>
      </c>
      <c r="E12" s="5">
        <v>14.02</v>
      </c>
      <c r="F12" s="7">
        <v>27.58</v>
      </c>
      <c r="G12" s="4">
        <v>24.69</v>
      </c>
      <c r="H12" s="5">
        <v>59.27</v>
      </c>
      <c r="I12" s="7">
        <v>9.1999999999999993</v>
      </c>
      <c r="J12" s="4">
        <v>12.5</v>
      </c>
      <c r="K12" s="5">
        <v>12.12</v>
      </c>
      <c r="L12" s="7">
        <v>378.03</v>
      </c>
      <c r="M12" s="4">
        <v>264.23</v>
      </c>
      <c r="N12" s="5">
        <v>123.05</v>
      </c>
      <c r="O12" s="7">
        <v>24.98</v>
      </c>
      <c r="P12" s="4">
        <v>21.24</v>
      </c>
      <c r="Q12" s="5">
        <v>15.88</v>
      </c>
      <c r="R12" s="7">
        <v>23.5</v>
      </c>
      <c r="S12" s="4">
        <v>14.94</v>
      </c>
      <c r="T12" s="5">
        <v>7.56</v>
      </c>
      <c r="U12" s="7">
        <v>44.32</v>
      </c>
      <c r="V12" s="4">
        <v>50.2</v>
      </c>
      <c r="W12" s="5">
        <v>15.57</v>
      </c>
      <c r="X12" s="7">
        <v>3.67</v>
      </c>
      <c r="Y12" s="4">
        <v>3.45</v>
      </c>
      <c r="Z12" s="5">
        <v>11.28</v>
      </c>
      <c r="AA12" s="7">
        <v>53.54</v>
      </c>
      <c r="AB12" s="4">
        <v>77.55</v>
      </c>
      <c r="AC12" s="5">
        <v>54.92</v>
      </c>
      <c r="AD12" s="7">
        <v>24.7</v>
      </c>
      <c r="AE12" s="4">
        <v>26.71</v>
      </c>
      <c r="AF12" s="5">
        <v>7.62</v>
      </c>
    </row>
    <row r="13" spans="1:32" ht="15" thickBot="1" x14ac:dyDescent="0.4"/>
    <row r="14" spans="1:32" ht="15" thickBot="1" x14ac:dyDescent="0.4">
      <c r="C14" s="49" t="s">
        <v>19</v>
      </c>
      <c r="D14" s="50"/>
      <c r="E14" s="50"/>
      <c r="F14" s="50"/>
      <c r="G14" s="50"/>
      <c r="H14" s="50"/>
      <c r="I14" s="50"/>
      <c r="J14" s="50"/>
      <c r="K14" s="50"/>
      <c r="L14" s="50"/>
      <c r="M14" s="50"/>
      <c r="N14" s="50"/>
      <c r="O14" s="50"/>
      <c r="P14" s="50"/>
      <c r="Q14" s="51"/>
      <c r="R14" s="52" t="s">
        <v>17</v>
      </c>
      <c r="S14" s="53"/>
      <c r="T14" s="53"/>
      <c r="U14" s="53"/>
      <c r="V14" s="53"/>
      <c r="W14" s="53"/>
      <c r="X14" s="53"/>
      <c r="Y14" s="53"/>
      <c r="Z14" s="53"/>
      <c r="AA14" s="53"/>
      <c r="AB14" s="53"/>
      <c r="AC14" s="53"/>
      <c r="AD14" s="53"/>
      <c r="AE14" s="53"/>
      <c r="AF14" s="54"/>
    </row>
    <row r="15" spans="1:32" x14ac:dyDescent="0.35">
      <c r="A15" s="81" t="s">
        <v>2</v>
      </c>
      <c r="B15" s="80" t="s">
        <v>45</v>
      </c>
      <c r="C15" s="64" t="s">
        <v>5</v>
      </c>
      <c r="D15" s="65"/>
      <c r="E15" s="66"/>
      <c r="F15" s="64" t="s">
        <v>6</v>
      </c>
      <c r="G15" s="65"/>
      <c r="H15" s="66"/>
      <c r="I15" s="64" t="s">
        <v>7</v>
      </c>
      <c r="J15" s="65"/>
      <c r="K15" s="66"/>
      <c r="L15" s="64" t="s">
        <v>8</v>
      </c>
      <c r="M15" s="65"/>
      <c r="N15" s="66"/>
      <c r="O15" s="64" t="s">
        <v>9</v>
      </c>
      <c r="P15" s="65"/>
      <c r="Q15" s="66"/>
      <c r="R15" s="64" t="s">
        <v>10</v>
      </c>
      <c r="S15" s="65"/>
      <c r="T15" s="66"/>
      <c r="U15" s="64" t="s">
        <v>11</v>
      </c>
      <c r="V15" s="65"/>
      <c r="W15" s="66"/>
      <c r="X15" s="64" t="s">
        <v>12</v>
      </c>
      <c r="Y15" s="65"/>
      <c r="Z15" s="66"/>
      <c r="AA15" s="64" t="s">
        <v>13</v>
      </c>
      <c r="AB15" s="65"/>
      <c r="AC15" s="66"/>
      <c r="AD15" s="64" t="s">
        <v>14</v>
      </c>
      <c r="AE15" s="65"/>
      <c r="AF15" s="66"/>
    </row>
    <row r="16" spans="1:32" x14ac:dyDescent="0.35">
      <c r="A16" s="79"/>
      <c r="B16" s="78" t="s">
        <v>16</v>
      </c>
      <c r="C16" s="6">
        <v>1.27</v>
      </c>
      <c r="D16" s="2">
        <v>0.48</v>
      </c>
      <c r="E16" s="3">
        <v>1.08</v>
      </c>
      <c r="F16" s="6">
        <v>1.0900000000000001</v>
      </c>
      <c r="G16" s="2">
        <v>1.25</v>
      </c>
      <c r="H16" s="3">
        <v>0.73</v>
      </c>
      <c r="I16" s="6">
        <v>0.65</v>
      </c>
      <c r="J16" s="2">
        <v>1.47</v>
      </c>
      <c r="K16" s="3">
        <v>1.05</v>
      </c>
      <c r="L16" s="6">
        <v>1.01</v>
      </c>
      <c r="M16" s="2">
        <v>1.01</v>
      </c>
      <c r="N16" s="3">
        <v>0.98</v>
      </c>
      <c r="O16" s="6">
        <v>0.72</v>
      </c>
      <c r="P16" s="2">
        <v>1.35</v>
      </c>
      <c r="Q16" s="3">
        <v>1.03</v>
      </c>
      <c r="R16" s="6">
        <v>1.93</v>
      </c>
      <c r="S16" s="2">
        <v>0.48</v>
      </c>
      <c r="T16" s="3">
        <v>1.08</v>
      </c>
      <c r="U16" s="6">
        <v>1.3</v>
      </c>
      <c r="V16" s="2">
        <v>0.85</v>
      </c>
      <c r="W16" s="3">
        <v>0.9</v>
      </c>
      <c r="X16" s="6">
        <v>1.1299999999999999</v>
      </c>
      <c r="Y16" s="2">
        <v>1.31</v>
      </c>
      <c r="Z16" s="3">
        <v>0.68</v>
      </c>
      <c r="AA16" s="6">
        <v>1.06</v>
      </c>
      <c r="AB16" s="2">
        <v>1.1000000000000001</v>
      </c>
      <c r="AC16" s="3">
        <v>0.86</v>
      </c>
      <c r="AD16" s="6">
        <v>0.72</v>
      </c>
      <c r="AE16" s="2">
        <v>1.42</v>
      </c>
      <c r="AF16" s="3">
        <v>0.98</v>
      </c>
    </row>
    <row r="17" spans="1:32" x14ac:dyDescent="0.35">
      <c r="A17" s="79"/>
      <c r="B17" s="78" t="s">
        <v>44</v>
      </c>
      <c r="C17" s="6">
        <v>79.760000000000005</v>
      </c>
      <c r="D17" s="2">
        <v>42.82</v>
      </c>
      <c r="E17" s="3">
        <v>65.94</v>
      </c>
      <c r="F17" s="6">
        <v>16.82</v>
      </c>
      <c r="G17" s="2">
        <v>19.079999999999998</v>
      </c>
      <c r="H17" s="3">
        <v>12.77</v>
      </c>
      <c r="I17" s="6">
        <v>13.54</v>
      </c>
      <c r="J17" s="2">
        <v>34.35</v>
      </c>
      <c r="K17" s="3">
        <v>23.45</v>
      </c>
      <c r="L17" s="6">
        <v>23.13</v>
      </c>
      <c r="M17" s="2">
        <v>64.569999999999993</v>
      </c>
      <c r="N17" s="3">
        <v>30.14</v>
      </c>
      <c r="O17" s="6">
        <v>12.9</v>
      </c>
      <c r="P17" s="2">
        <v>30.2</v>
      </c>
      <c r="Q17" s="3">
        <v>13.2</v>
      </c>
      <c r="R17" s="6">
        <v>95.17</v>
      </c>
      <c r="S17" s="2">
        <v>42.82</v>
      </c>
      <c r="T17" s="3">
        <v>65.94</v>
      </c>
      <c r="U17" s="6">
        <v>24.07</v>
      </c>
      <c r="V17" s="2">
        <v>16.45</v>
      </c>
      <c r="W17" s="3">
        <v>18.14</v>
      </c>
      <c r="X17" s="6">
        <v>12.23</v>
      </c>
      <c r="Y17" s="2">
        <v>21.95</v>
      </c>
      <c r="Z17" s="3">
        <v>11.58</v>
      </c>
      <c r="AA17" s="6">
        <v>26.26</v>
      </c>
      <c r="AB17" s="2">
        <v>15.99</v>
      </c>
      <c r="AC17" s="3">
        <v>18.71</v>
      </c>
      <c r="AD17" s="6">
        <v>42.64</v>
      </c>
      <c r="AE17" s="2">
        <v>65</v>
      </c>
      <c r="AF17" s="3">
        <v>33.92</v>
      </c>
    </row>
    <row r="18" spans="1:32" ht="15" thickBot="1" x14ac:dyDescent="0.4">
      <c r="A18" s="77"/>
      <c r="B18" s="76" t="s">
        <v>43</v>
      </c>
      <c r="C18" s="7">
        <v>67.92</v>
      </c>
      <c r="D18" s="4">
        <v>92.85</v>
      </c>
      <c r="E18" s="5">
        <v>73.55</v>
      </c>
      <c r="F18" s="7">
        <v>10.68</v>
      </c>
      <c r="G18" s="4">
        <v>15.67</v>
      </c>
      <c r="H18" s="5">
        <v>36.4</v>
      </c>
      <c r="I18" s="7">
        <v>3.23</v>
      </c>
      <c r="J18" s="4">
        <v>3.89</v>
      </c>
      <c r="K18" s="5">
        <v>3.95</v>
      </c>
      <c r="L18" s="7">
        <v>27.21</v>
      </c>
      <c r="M18" s="4">
        <v>33.1</v>
      </c>
      <c r="N18" s="5">
        <v>18.55</v>
      </c>
      <c r="O18" s="7">
        <v>44.49</v>
      </c>
      <c r="P18" s="4">
        <v>31.77</v>
      </c>
      <c r="Q18" s="5">
        <v>23.9</v>
      </c>
      <c r="R18" s="7">
        <v>50.77</v>
      </c>
      <c r="S18" s="4">
        <v>71.16</v>
      </c>
      <c r="T18" s="5">
        <v>47.17</v>
      </c>
      <c r="U18" s="7">
        <v>23.41</v>
      </c>
      <c r="V18" s="4">
        <v>29.65</v>
      </c>
      <c r="W18" s="5">
        <v>10.84</v>
      </c>
      <c r="X18" s="7">
        <v>9.9499999999999993</v>
      </c>
      <c r="Y18" s="4">
        <v>13.43</v>
      </c>
      <c r="Z18" s="5">
        <v>9.6300000000000008</v>
      </c>
      <c r="AA18" s="7">
        <v>17.59</v>
      </c>
      <c r="AB18" s="4">
        <v>17.12</v>
      </c>
      <c r="AC18" s="5">
        <v>19.12</v>
      </c>
      <c r="AD18" s="7">
        <v>19.02</v>
      </c>
      <c r="AE18" s="4">
        <v>22.71</v>
      </c>
      <c r="AF18" s="5">
        <v>10.87</v>
      </c>
    </row>
    <row r="19" spans="1:32" ht="15" thickBot="1" x14ac:dyDescent="0.4"/>
    <row r="20" spans="1:32" ht="15" thickBot="1" x14ac:dyDescent="0.4">
      <c r="C20" s="49" t="s">
        <v>19</v>
      </c>
      <c r="D20" s="50"/>
      <c r="E20" s="50"/>
      <c r="F20" s="50"/>
      <c r="G20" s="50"/>
      <c r="H20" s="50"/>
      <c r="I20" s="50"/>
      <c r="J20" s="50"/>
      <c r="K20" s="50"/>
      <c r="L20" s="50"/>
      <c r="M20" s="50"/>
      <c r="N20" s="50"/>
      <c r="O20" s="50"/>
      <c r="P20" s="50"/>
      <c r="Q20" s="51"/>
      <c r="R20" s="52" t="s">
        <v>17</v>
      </c>
      <c r="S20" s="53"/>
      <c r="T20" s="53"/>
      <c r="U20" s="53"/>
      <c r="V20" s="53"/>
      <c r="W20" s="53"/>
      <c r="X20" s="53"/>
      <c r="Y20" s="53"/>
      <c r="Z20" s="53"/>
      <c r="AA20" s="53"/>
      <c r="AB20" s="53"/>
      <c r="AC20" s="53"/>
      <c r="AD20" s="53"/>
      <c r="AE20" s="53"/>
      <c r="AF20" s="54"/>
    </row>
    <row r="21" spans="1:32" x14ac:dyDescent="0.35">
      <c r="A21" s="81" t="s">
        <v>3</v>
      </c>
      <c r="B21" s="80" t="s">
        <v>45</v>
      </c>
      <c r="C21" s="64" t="s">
        <v>5</v>
      </c>
      <c r="D21" s="65"/>
      <c r="E21" s="66"/>
      <c r="F21" s="64" t="s">
        <v>6</v>
      </c>
      <c r="G21" s="65"/>
      <c r="H21" s="66"/>
      <c r="I21" s="64" t="s">
        <v>7</v>
      </c>
      <c r="J21" s="65"/>
      <c r="K21" s="66"/>
      <c r="L21" s="64" t="s">
        <v>8</v>
      </c>
      <c r="M21" s="65"/>
      <c r="N21" s="66"/>
      <c r="O21" s="64" t="s">
        <v>9</v>
      </c>
      <c r="P21" s="65"/>
      <c r="Q21" s="66"/>
      <c r="R21" s="64" t="s">
        <v>10</v>
      </c>
      <c r="S21" s="65"/>
      <c r="T21" s="66"/>
      <c r="U21" s="64" t="s">
        <v>11</v>
      </c>
      <c r="V21" s="65"/>
      <c r="W21" s="66"/>
      <c r="X21" s="64" t="s">
        <v>12</v>
      </c>
      <c r="Y21" s="65"/>
      <c r="Z21" s="66"/>
      <c r="AA21" s="64" t="s">
        <v>13</v>
      </c>
      <c r="AB21" s="65"/>
      <c r="AC21" s="66"/>
      <c r="AD21" s="64" t="s">
        <v>14</v>
      </c>
      <c r="AE21" s="65"/>
      <c r="AF21" s="66"/>
    </row>
    <row r="22" spans="1:32" x14ac:dyDescent="0.35">
      <c r="A22" s="79"/>
      <c r="B22" s="78" t="s">
        <v>16</v>
      </c>
      <c r="C22" s="6">
        <v>1.21</v>
      </c>
      <c r="D22" s="2">
        <v>0.4</v>
      </c>
      <c r="E22" s="3">
        <v>1.37</v>
      </c>
      <c r="F22" s="6">
        <v>0.96</v>
      </c>
      <c r="G22" s="2">
        <v>0.94</v>
      </c>
      <c r="H22" s="3">
        <v>1.1000000000000001</v>
      </c>
      <c r="I22" s="6">
        <v>0.81</v>
      </c>
      <c r="J22" s="2">
        <v>1.1399999999999999</v>
      </c>
      <c r="K22" s="3">
        <v>1.08</v>
      </c>
      <c r="L22" s="6">
        <v>1.01</v>
      </c>
      <c r="M22" s="2">
        <v>1.18</v>
      </c>
      <c r="N22" s="3">
        <v>0.85</v>
      </c>
      <c r="O22" s="6">
        <v>0.84</v>
      </c>
      <c r="P22" s="2">
        <v>1.65</v>
      </c>
      <c r="Q22" s="3">
        <v>0.72</v>
      </c>
      <c r="R22" s="6">
        <v>1.82</v>
      </c>
      <c r="S22" s="2">
        <v>0.4</v>
      </c>
      <c r="T22" s="3">
        <v>1.37</v>
      </c>
      <c r="U22" s="6">
        <v>0.52</v>
      </c>
      <c r="V22" s="2">
        <v>1.26</v>
      </c>
      <c r="W22" s="3">
        <v>1.52</v>
      </c>
      <c r="X22" s="6">
        <v>0.98</v>
      </c>
      <c r="Y22" s="2">
        <v>0.75</v>
      </c>
      <c r="Z22" s="3">
        <v>1.37</v>
      </c>
      <c r="AA22" s="6">
        <v>0.79</v>
      </c>
      <c r="AB22" s="2">
        <v>1.21</v>
      </c>
      <c r="AC22" s="3">
        <v>1.05</v>
      </c>
      <c r="AD22" s="6">
        <v>0.93</v>
      </c>
      <c r="AE22" s="2">
        <v>0.81</v>
      </c>
      <c r="AF22" s="3">
        <v>1.34</v>
      </c>
    </row>
    <row r="23" spans="1:32" x14ac:dyDescent="0.35">
      <c r="A23" s="79"/>
      <c r="B23" s="78" t="s">
        <v>44</v>
      </c>
      <c r="C23" s="6">
        <v>4.45</v>
      </c>
      <c r="D23" s="2">
        <v>2.4700000000000002</v>
      </c>
      <c r="E23" s="3">
        <v>5.32</v>
      </c>
      <c r="F23" s="6">
        <v>4.3899999999999997</v>
      </c>
      <c r="G23" s="2">
        <v>2.87</v>
      </c>
      <c r="H23" s="3">
        <v>4.3899999999999997</v>
      </c>
      <c r="I23" s="6">
        <v>3.21</v>
      </c>
      <c r="J23" s="2">
        <v>6.39</v>
      </c>
      <c r="K23" s="3">
        <v>5.83</v>
      </c>
      <c r="L23" s="6">
        <v>3.66</v>
      </c>
      <c r="M23" s="2">
        <v>12.36</v>
      </c>
      <c r="N23" s="3">
        <v>4.3099999999999996</v>
      </c>
      <c r="O23" s="6">
        <v>5.5</v>
      </c>
      <c r="P23" s="2">
        <v>10.5</v>
      </c>
      <c r="Q23" s="3">
        <v>2.63</v>
      </c>
      <c r="R23" s="6">
        <v>6.08</v>
      </c>
      <c r="S23" s="2">
        <v>2.4700000000000002</v>
      </c>
      <c r="T23" s="3">
        <v>5.32</v>
      </c>
      <c r="U23" s="6">
        <v>2.84</v>
      </c>
      <c r="V23" s="2">
        <v>3.31</v>
      </c>
      <c r="W23" s="3">
        <v>4.62</v>
      </c>
      <c r="X23" s="6">
        <v>2.04</v>
      </c>
      <c r="Y23" s="2">
        <v>10.11</v>
      </c>
      <c r="Z23" s="3">
        <v>3.63</v>
      </c>
      <c r="AA23" s="6">
        <v>6.46</v>
      </c>
      <c r="AB23" s="2">
        <v>5.16</v>
      </c>
      <c r="AC23" s="3">
        <v>6.41</v>
      </c>
      <c r="AD23" s="6">
        <v>4.13</v>
      </c>
      <c r="AE23" s="2">
        <v>2.82</v>
      </c>
      <c r="AF23" s="3">
        <v>3.32</v>
      </c>
    </row>
    <row r="24" spans="1:32" ht="15" thickBot="1" x14ac:dyDescent="0.4">
      <c r="A24" s="77"/>
      <c r="B24" s="76" t="s">
        <v>43</v>
      </c>
      <c r="C24" s="7">
        <v>3.54</v>
      </c>
      <c r="D24" s="4">
        <v>3.67</v>
      </c>
      <c r="E24" s="5">
        <v>2.97</v>
      </c>
      <c r="F24" s="7">
        <v>4.87</v>
      </c>
      <c r="G24" s="4">
        <v>5.62</v>
      </c>
      <c r="H24" s="5">
        <v>10.71</v>
      </c>
      <c r="I24" s="7">
        <v>1.0900000000000001</v>
      </c>
      <c r="J24" s="4">
        <v>1.24</v>
      </c>
      <c r="K24" s="5">
        <v>0.69</v>
      </c>
      <c r="L24" s="7">
        <v>8.77</v>
      </c>
      <c r="M24" s="4">
        <v>10.55</v>
      </c>
      <c r="N24" s="5">
        <v>4.59</v>
      </c>
      <c r="O24" s="7">
        <v>10.46</v>
      </c>
      <c r="P24" s="4">
        <v>7.53</v>
      </c>
      <c r="Q24" s="5">
        <v>5.41</v>
      </c>
      <c r="R24" s="7">
        <v>1.71</v>
      </c>
      <c r="S24" s="4">
        <v>3.54</v>
      </c>
      <c r="T24" s="5">
        <v>2.72</v>
      </c>
      <c r="U24" s="7">
        <v>4.51</v>
      </c>
      <c r="V24" s="4">
        <v>4.3099999999999996</v>
      </c>
      <c r="W24" s="5">
        <v>3.98</v>
      </c>
      <c r="X24" s="7">
        <v>4.1399999999999997</v>
      </c>
      <c r="Y24" s="4">
        <v>3.99</v>
      </c>
      <c r="Z24" s="5">
        <v>9.06</v>
      </c>
      <c r="AA24" s="7">
        <v>3.15</v>
      </c>
      <c r="AB24" s="4">
        <v>3.68</v>
      </c>
      <c r="AC24" s="5">
        <v>3.13</v>
      </c>
      <c r="AD24" s="7">
        <v>4.09</v>
      </c>
      <c r="AE24" s="4">
        <v>2.4300000000000002</v>
      </c>
      <c r="AF24" s="5">
        <v>0.95</v>
      </c>
    </row>
    <row r="25" spans="1:32" ht="15" thickBot="1" x14ac:dyDescent="0.4"/>
    <row r="26" spans="1:32" ht="15" thickBot="1" x14ac:dyDescent="0.4">
      <c r="C26" s="49" t="s">
        <v>19</v>
      </c>
      <c r="D26" s="50"/>
      <c r="E26" s="50"/>
      <c r="F26" s="50"/>
      <c r="G26" s="50"/>
      <c r="H26" s="50"/>
      <c r="I26" s="50"/>
      <c r="J26" s="50"/>
      <c r="K26" s="50"/>
      <c r="L26" s="50"/>
      <c r="M26" s="50"/>
      <c r="N26" s="50"/>
      <c r="O26" s="50"/>
      <c r="P26" s="50"/>
      <c r="Q26" s="51"/>
      <c r="R26" s="52" t="s">
        <v>17</v>
      </c>
      <c r="S26" s="53"/>
      <c r="T26" s="53"/>
      <c r="U26" s="53"/>
      <c r="V26" s="53"/>
      <c r="W26" s="53"/>
      <c r="X26" s="53"/>
      <c r="Y26" s="53"/>
      <c r="Z26" s="53"/>
      <c r="AA26" s="53"/>
      <c r="AB26" s="53"/>
      <c r="AC26" s="53"/>
      <c r="AD26" s="53"/>
      <c r="AE26" s="53"/>
      <c r="AF26" s="54"/>
    </row>
    <row r="27" spans="1:32" x14ac:dyDescent="0.35">
      <c r="A27" s="81" t="s">
        <v>4</v>
      </c>
      <c r="B27" s="80" t="s">
        <v>45</v>
      </c>
      <c r="C27" s="64" t="s">
        <v>5</v>
      </c>
      <c r="D27" s="65"/>
      <c r="E27" s="66"/>
      <c r="F27" s="64" t="s">
        <v>6</v>
      </c>
      <c r="G27" s="65"/>
      <c r="H27" s="66"/>
      <c r="I27" s="64" t="s">
        <v>7</v>
      </c>
      <c r="J27" s="65"/>
      <c r="K27" s="66"/>
      <c r="L27" s="64" t="s">
        <v>8</v>
      </c>
      <c r="M27" s="65"/>
      <c r="N27" s="66"/>
      <c r="O27" s="64" t="s">
        <v>9</v>
      </c>
      <c r="P27" s="65"/>
      <c r="Q27" s="66"/>
      <c r="R27" s="64" t="s">
        <v>10</v>
      </c>
      <c r="S27" s="65"/>
      <c r="T27" s="66"/>
      <c r="U27" s="64" t="s">
        <v>11</v>
      </c>
      <c r="V27" s="65"/>
      <c r="W27" s="66"/>
      <c r="X27" s="64" t="s">
        <v>12</v>
      </c>
      <c r="Y27" s="65"/>
      <c r="Z27" s="66"/>
      <c r="AA27" s="64" t="s">
        <v>13</v>
      </c>
      <c r="AB27" s="65"/>
      <c r="AC27" s="66"/>
      <c r="AD27" s="64" t="s">
        <v>14</v>
      </c>
      <c r="AE27" s="65"/>
      <c r="AF27" s="66"/>
    </row>
    <row r="28" spans="1:32" x14ac:dyDescent="0.35">
      <c r="A28" s="79"/>
      <c r="B28" s="78" t="s">
        <v>16</v>
      </c>
      <c r="C28" s="6">
        <v>1.48</v>
      </c>
      <c r="D28" s="2">
        <v>1.1499999999999999</v>
      </c>
      <c r="E28" s="3">
        <v>0.59</v>
      </c>
      <c r="F28" s="6">
        <v>1.1000000000000001</v>
      </c>
      <c r="G28" s="2">
        <v>1.05</v>
      </c>
      <c r="H28" s="3">
        <v>0.87</v>
      </c>
      <c r="I28" s="6">
        <v>0.81</v>
      </c>
      <c r="J28" s="2">
        <v>1.1299999999999999</v>
      </c>
      <c r="K28" s="3">
        <v>1.1000000000000001</v>
      </c>
      <c r="L28" s="6">
        <v>0.96</v>
      </c>
      <c r="M28" s="2">
        <v>1.39</v>
      </c>
      <c r="N28" s="3">
        <v>0.75</v>
      </c>
      <c r="O28" s="6">
        <v>0.81</v>
      </c>
      <c r="P28" s="2">
        <v>1.42</v>
      </c>
      <c r="Q28" s="3">
        <v>0.87</v>
      </c>
      <c r="R28" s="6">
        <v>1.75</v>
      </c>
      <c r="S28" s="2">
        <v>0.35</v>
      </c>
      <c r="T28" s="3">
        <v>1.64</v>
      </c>
      <c r="U28" s="6">
        <v>0.64</v>
      </c>
      <c r="V28" s="2">
        <v>1.43</v>
      </c>
      <c r="W28" s="3">
        <v>1.0900000000000001</v>
      </c>
      <c r="X28" s="6">
        <v>1.1100000000000001</v>
      </c>
      <c r="Y28" s="2">
        <v>0.73</v>
      </c>
      <c r="Z28" s="3">
        <v>1.23</v>
      </c>
      <c r="AA28" s="6">
        <v>0.75</v>
      </c>
      <c r="AB28" s="2">
        <v>1.1000000000000001</v>
      </c>
      <c r="AC28" s="3">
        <v>1.21</v>
      </c>
      <c r="AD28" s="6">
        <v>0.95</v>
      </c>
      <c r="AE28" s="2">
        <v>0.99</v>
      </c>
      <c r="AF28" s="3">
        <v>1.06</v>
      </c>
    </row>
    <row r="29" spans="1:32" x14ac:dyDescent="0.35">
      <c r="A29" s="79"/>
      <c r="B29" s="78" t="s">
        <v>44</v>
      </c>
      <c r="C29" s="6">
        <v>4.29</v>
      </c>
      <c r="D29" s="2">
        <v>2.37</v>
      </c>
      <c r="E29" s="3">
        <v>1.94</v>
      </c>
      <c r="F29" s="6">
        <v>2.88</v>
      </c>
      <c r="G29" s="2">
        <v>2.89</v>
      </c>
      <c r="H29" s="3">
        <v>2.35</v>
      </c>
      <c r="I29" s="6">
        <v>2.0299999999999998</v>
      </c>
      <c r="J29" s="2">
        <v>3.52</v>
      </c>
      <c r="K29" s="3">
        <v>3.74</v>
      </c>
      <c r="L29" s="6">
        <v>2.12</v>
      </c>
      <c r="M29" s="2">
        <v>8.06</v>
      </c>
      <c r="N29" s="3">
        <v>2.39</v>
      </c>
      <c r="O29" s="6">
        <v>2.1800000000000002</v>
      </c>
      <c r="P29" s="2">
        <v>3.71</v>
      </c>
      <c r="Q29" s="3">
        <v>1.3</v>
      </c>
      <c r="R29" s="6">
        <v>5.98</v>
      </c>
      <c r="S29" s="2">
        <v>2.75</v>
      </c>
      <c r="T29" s="3">
        <v>7.28</v>
      </c>
      <c r="U29" s="6">
        <v>1.59</v>
      </c>
      <c r="V29" s="2">
        <v>2.87</v>
      </c>
      <c r="W29" s="3">
        <v>2.33</v>
      </c>
      <c r="X29" s="6">
        <v>0.6</v>
      </c>
      <c r="Y29" s="2">
        <v>5.51</v>
      </c>
      <c r="Z29" s="3">
        <v>1.07</v>
      </c>
      <c r="AA29" s="6">
        <v>2.92</v>
      </c>
      <c r="AB29" s="2">
        <v>2.2400000000000002</v>
      </c>
      <c r="AC29" s="3">
        <v>2.83</v>
      </c>
      <c r="AD29" s="6">
        <v>2.92</v>
      </c>
      <c r="AE29" s="2">
        <v>2.06</v>
      </c>
      <c r="AF29" s="3">
        <v>2.39</v>
      </c>
    </row>
    <row r="30" spans="1:32" ht="15" thickBot="1" x14ac:dyDescent="0.4">
      <c r="A30" s="77"/>
      <c r="B30" s="76" t="s">
        <v>43</v>
      </c>
      <c r="C30" s="7">
        <v>3.42</v>
      </c>
      <c r="D30" s="4">
        <v>4.3899999999999997</v>
      </c>
      <c r="E30" s="5">
        <v>3.62</v>
      </c>
      <c r="F30" s="7">
        <v>2.67</v>
      </c>
      <c r="G30" s="4">
        <v>3.26</v>
      </c>
      <c r="H30" s="5">
        <v>6.49</v>
      </c>
      <c r="I30" s="7">
        <v>0.57999999999999996</v>
      </c>
      <c r="J30" s="4">
        <v>0.84</v>
      </c>
      <c r="K30" s="5">
        <v>0.49</v>
      </c>
      <c r="L30" s="7">
        <v>3.03</v>
      </c>
      <c r="M30" s="4">
        <v>3.45</v>
      </c>
      <c r="N30" s="5">
        <v>2.04</v>
      </c>
      <c r="O30" s="7">
        <v>4.99</v>
      </c>
      <c r="P30" s="4">
        <v>3.78</v>
      </c>
      <c r="Q30" s="5">
        <v>2.56</v>
      </c>
      <c r="R30" s="7">
        <v>3.23</v>
      </c>
      <c r="S30" s="4">
        <v>5.18</v>
      </c>
      <c r="T30" s="5">
        <v>3.26</v>
      </c>
      <c r="U30" s="7">
        <v>2.78</v>
      </c>
      <c r="V30" s="4">
        <v>3.32</v>
      </c>
      <c r="W30" s="5">
        <v>1.79</v>
      </c>
      <c r="X30" s="7">
        <v>1.33</v>
      </c>
      <c r="Y30" s="4">
        <v>1.26</v>
      </c>
      <c r="Z30" s="5">
        <v>3.97</v>
      </c>
      <c r="AA30" s="7">
        <v>2.69</v>
      </c>
      <c r="AB30" s="4">
        <v>3.08</v>
      </c>
      <c r="AC30" s="5">
        <v>2.44</v>
      </c>
      <c r="AD30" s="7">
        <v>1.97</v>
      </c>
      <c r="AE30" s="4">
        <v>1.42</v>
      </c>
      <c r="AF30" s="5">
        <v>0.74</v>
      </c>
    </row>
  </sheetData>
  <mergeCells count="65">
    <mergeCell ref="R15:T15"/>
    <mergeCell ref="U15:W15"/>
    <mergeCell ref="X15:Z15"/>
    <mergeCell ref="AA15:AC15"/>
    <mergeCell ref="AD15:AF15"/>
    <mergeCell ref="O15:Q15"/>
    <mergeCell ref="X27:Z27"/>
    <mergeCell ref="AA27:AC27"/>
    <mergeCell ref="AD27:AF27"/>
    <mergeCell ref="R14:AF14"/>
    <mergeCell ref="C20:Q20"/>
    <mergeCell ref="R20:AF20"/>
    <mergeCell ref="C26:Q26"/>
    <mergeCell ref="R26:AF26"/>
    <mergeCell ref="AA21:AC21"/>
    <mergeCell ref="AD21:AF21"/>
    <mergeCell ref="AD9:AF9"/>
    <mergeCell ref="R3:T3"/>
    <mergeCell ref="U3:W3"/>
    <mergeCell ref="X3:Z3"/>
    <mergeCell ref="AA3:AC3"/>
    <mergeCell ref="AD3:AF3"/>
    <mergeCell ref="C2:Q2"/>
    <mergeCell ref="R2:AF2"/>
    <mergeCell ref="C8:Q8"/>
    <mergeCell ref="R8:AF8"/>
    <mergeCell ref="C14:Q14"/>
    <mergeCell ref="O9:Q9"/>
    <mergeCell ref="R9:T9"/>
    <mergeCell ref="U9:W9"/>
    <mergeCell ref="X9:Z9"/>
    <mergeCell ref="AA9:AC9"/>
    <mergeCell ref="R21:T21"/>
    <mergeCell ref="U21:W21"/>
    <mergeCell ref="X21:Z21"/>
    <mergeCell ref="A27:A30"/>
    <mergeCell ref="C27:E27"/>
    <mergeCell ref="F27:H27"/>
    <mergeCell ref="I27:K27"/>
    <mergeCell ref="L27:N27"/>
    <mergeCell ref="R27:T27"/>
    <mergeCell ref="U27:W27"/>
    <mergeCell ref="A21:A24"/>
    <mergeCell ref="C21:E21"/>
    <mergeCell ref="F21:H21"/>
    <mergeCell ref="I21:K21"/>
    <mergeCell ref="L21:N21"/>
    <mergeCell ref="O27:Q27"/>
    <mergeCell ref="O21:Q21"/>
    <mergeCell ref="A9:A12"/>
    <mergeCell ref="C9:E9"/>
    <mergeCell ref="F9:H9"/>
    <mergeCell ref="I9:K9"/>
    <mergeCell ref="L9:N9"/>
    <mergeCell ref="A15:A18"/>
    <mergeCell ref="C15:E15"/>
    <mergeCell ref="F15:H15"/>
    <mergeCell ref="I15:K15"/>
    <mergeCell ref="L15:N15"/>
    <mergeCell ref="O3:Q3"/>
    <mergeCell ref="A3:A6"/>
    <mergeCell ref="C3:E3"/>
    <mergeCell ref="F3:H3"/>
    <mergeCell ref="I3:K3"/>
    <mergeCell ref="L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AC81-B439-41CD-8244-E7F8772A4B8E}">
  <dimension ref="A1:AK24"/>
  <sheetViews>
    <sheetView workbookViewId="0">
      <selection activeCell="A19" sqref="A19:A24"/>
    </sheetView>
  </sheetViews>
  <sheetFormatPr defaultRowHeight="14.5" x14ac:dyDescent="0.35"/>
  <cols>
    <col min="3" max="32" width="8.54296875" customWidth="1"/>
    <col min="33" max="33" width="16.453125" customWidth="1"/>
  </cols>
  <sheetData>
    <row r="1" spans="1:37" ht="15" thickBot="1" x14ac:dyDescent="0.4">
      <c r="A1" t="s">
        <v>30</v>
      </c>
    </row>
    <row r="2" spans="1:37" ht="15" thickBot="1" x14ac:dyDescent="0.4">
      <c r="C2" s="49" t="s">
        <v>19</v>
      </c>
      <c r="D2" s="50"/>
      <c r="E2" s="50"/>
      <c r="F2" s="50"/>
      <c r="G2" s="50"/>
      <c r="H2" s="50"/>
      <c r="I2" s="50"/>
      <c r="J2" s="50"/>
      <c r="K2" s="50"/>
      <c r="L2" s="50"/>
      <c r="M2" s="50"/>
      <c r="N2" s="50"/>
      <c r="O2" s="50"/>
      <c r="P2" s="50"/>
      <c r="Q2" s="51"/>
      <c r="R2" s="52" t="s">
        <v>17</v>
      </c>
      <c r="S2" s="53"/>
      <c r="T2" s="53"/>
      <c r="U2" s="53"/>
      <c r="V2" s="53"/>
      <c r="W2" s="53"/>
      <c r="X2" s="53"/>
      <c r="Y2" s="53"/>
      <c r="Z2" s="53"/>
      <c r="AA2" s="53"/>
      <c r="AB2" s="53"/>
      <c r="AC2" s="53"/>
      <c r="AD2" s="53"/>
      <c r="AE2" s="53"/>
      <c r="AF2" s="54"/>
    </row>
    <row r="3" spans="1:37" x14ac:dyDescent="0.35">
      <c r="A3" s="67" t="s">
        <v>25</v>
      </c>
      <c r="B3" s="8" t="s">
        <v>15</v>
      </c>
      <c r="C3" s="64" t="s">
        <v>5</v>
      </c>
      <c r="D3" s="65"/>
      <c r="E3" s="66"/>
      <c r="F3" s="64" t="s">
        <v>6</v>
      </c>
      <c r="G3" s="65"/>
      <c r="H3" s="66"/>
      <c r="I3" s="64" t="s">
        <v>7</v>
      </c>
      <c r="J3" s="65"/>
      <c r="K3" s="66"/>
      <c r="L3" s="64" t="s">
        <v>8</v>
      </c>
      <c r="M3" s="65"/>
      <c r="N3" s="66"/>
      <c r="O3" s="64" t="s">
        <v>9</v>
      </c>
      <c r="P3" s="65"/>
      <c r="Q3" s="66"/>
      <c r="R3" s="64" t="s">
        <v>10</v>
      </c>
      <c r="S3" s="65"/>
      <c r="T3" s="66"/>
      <c r="U3" s="64" t="s">
        <v>11</v>
      </c>
      <c r="V3" s="65"/>
      <c r="W3" s="66"/>
      <c r="X3" s="64" t="s">
        <v>12</v>
      </c>
      <c r="Y3" s="65"/>
      <c r="Z3" s="66"/>
      <c r="AA3" s="64" t="s">
        <v>13</v>
      </c>
      <c r="AB3" s="65"/>
      <c r="AC3" s="66"/>
      <c r="AD3" s="64" t="s">
        <v>14</v>
      </c>
      <c r="AE3" s="65"/>
      <c r="AF3" s="66"/>
      <c r="AH3" t="s">
        <v>31</v>
      </c>
      <c r="AI3" t="s">
        <v>32</v>
      </c>
      <c r="AJ3" t="s">
        <v>33</v>
      </c>
      <c r="AK3" t="s">
        <v>34</v>
      </c>
    </row>
    <row r="4" spans="1:37" x14ac:dyDescent="0.35">
      <c r="A4" s="68"/>
      <c r="B4" s="9">
        <v>0</v>
      </c>
      <c r="C4" s="13">
        <v>1.2485467790016163</v>
      </c>
      <c r="D4" s="14">
        <v>1.8649239941985012</v>
      </c>
      <c r="E4" s="15">
        <v>0.42947119907133668</v>
      </c>
      <c r="F4" s="13">
        <v>4.8359114118335347</v>
      </c>
      <c r="G4" s="14">
        <v>0.46722815213800173</v>
      </c>
      <c r="H4" s="15">
        <v>0.44258089310427762</v>
      </c>
      <c r="I4" s="13">
        <v>0.87359194472737356</v>
      </c>
      <c r="J4" s="14">
        <v>0.93557461598499647</v>
      </c>
      <c r="K4" s="15">
        <v>1.2235252861172785</v>
      </c>
      <c r="L4" s="13">
        <v>0.59252832077803441</v>
      </c>
      <c r="M4" s="14">
        <v>1.5484338847561385</v>
      </c>
      <c r="N4" s="15">
        <v>1.0899290311984595</v>
      </c>
      <c r="O4" s="13">
        <v>0.57685045570013505</v>
      </c>
      <c r="P4" s="14">
        <v>1.2509588095343325</v>
      </c>
      <c r="Q4" s="15">
        <v>1.3857782798432237</v>
      </c>
      <c r="R4" s="13">
        <v>0.38104421540318278</v>
      </c>
      <c r="S4" s="14">
        <v>1.5609667881797158</v>
      </c>
      <c r="T4" s="15">
        <v>1.6812448385314132</v>
      </c>
      <c r="U4" s="13">
        <v>1.05138638922581</v>
      </c>
      <c r="V4" s="14">
        <v>2.1350239719850532</v>
      </c>
      <c r="W4" s="15">
        <v>0.44548685501246865</v>
      </c>
      <c r="X4" s="13">
        <v>0.20797950648695343</v>
      </c>
      <c r="Y4" s="14">
        <v>2.884606786099928</v>
      </c>
      <c r="Z4" s="15">
        <v>1.6668358622245945</v>
      </c>
      <c r="AA4" s="13">
        <v>2.6561098080546541</v>
      </c>
      <c r="AB4" s="14">
        <v>0.11166710328026214</v>
      </c>
      <c r="AC4" s="15">
        <v>3.3715431639528672</v>
      </c>
      <c r="AD4" s="13">
        <v>5.6340774953141537</v>
      </c>
      <c r="AE4" s="14">
        <v>0.5653518729455802</v>
      </c>
      <c r="AF4" s="15">
        <v>0.31394845374865554</v>
      </c>
      <c r="AH4" s="32">
        <f>AVERAGE(C8:AF8)</f>
        <v>13189.816179549387</v>
      </c>
      <c r="AI4">
        <f>GEOMEAN(C8:AF8)</f>
        <v>8030.1552053350588</v>
      </c>
      <c r="AJ4" s="32">
        <f>MIN(C8:AF8)</f>
        <v>437.35990191923543</v>
      </c>
      <c r="AK4" s="32">
        <f>MAX(C8:AF8)</f>
        <v>42921.159672064496</v>
      </c>
    </row>
    <row r="5" spans="1:37" x14ac:dyDescent="0.35">
      <c r="A5" s="68"/>
      <c r="B5" s="9">
        <v>0.1</v>
      </c>
      <c r="C5" s="13">
        <v>1104.4242267821219</v>
      </c>
      <c r="D5" s="14">
        <v>1717.3171745651373</v>
      </c>
      <c r="E5" s="15">
        <v>464.41857251780363</v>
      </c>
      <c r="F5" s="13">
        <v>16.015473972962628</v>
      </c>
      <c r="G5" s="14">
        <v>10.952948516288709</v>
      </c>
      <c r="H5" s="15">
        <v>29.081463204041288</v>
      </c>
      <c r="I5" s="13">
        <v>733.22775474321315</v>
      </c>
      <c r="J5" s="14">
        <v>1064.6781202054115</v>
      </c>
      <c r="K5" s="15">
        <v>1316.73974102989</v>
      </c>
      <c r="L5" s="13">
        <v>163.24725865295977</v>
      </c>
      <c r="M5" s="14">
        <v>1135.5958905312023</v>
      </c>
      <c r="N5" s="15">
        <v>1022.3436092296237</v>
      </c>
      <c r="O5" s="13">
        <v>1067.7407243250134</v>
      </c>
      <c r="P5" s="14">
        <v>1950.4214716615188</v>
      </c>
      <c r="Q5" s="15">
        <v>2285.4111985913923</v>
      </c>
      <c r="R5" s="13">
        <v>173.92917117082888</v>
      </c>
      <c r="S5" s="14">
        <v>500.19071519348586</v>
      </c>
      <c r="T5" s="15">
        <v>383.267199652942</v>
      </c>
      <c r="U5" s="13">
        <v>2.5990127330921524</v>
      </c>
      <c r="V5" s="14">
        <v>2.8741281253627355</v>
      </c>
      <c r="W5" s="15">
        <v>17.23279622854939</v>
      </c>
      <c r="X5" s="13">
        <v>0.31376449645565124</v>
      </c>
      <c r="Y5" s="14">
        <v>1.5731071106923069</v>
      </c>
      <c r="Z5" s="15">
        <v>0.99594748546489109</v>
      </c>
      <c r="AA5" s="13">
        <v>47.650695928429521</v>
      </c>
      <c r="AB5" s="14">
        <v>42.33616740401343</v>
      </c>
      <c r="AC5" s="15">
        <v>65.274347511198229</v>
      </c>
      <c r="AD5" s="13">
        <v>1.1725374215269859</v>
      </c>
      <c r="AE5" s="14">
        <v>1.1986372770849552</v>
      </c>
      <c r="AF5" s="15">
        <v>1.9732690011484622</v>
      </c>
      <c r="AG5" t="s">
        <v>35</v>
      </c>
      <c r="AH5">
        <f>COUNTIF(C8:AF8, "&lt; 13189")</f>
        <v>20</v>
      </c>
      <c r="AI5">
        <f>COUNTIF(C8:AF8, "&lt; 8030.155")</f>
        <v>13</v>
      </c>
    </row>
    <row r="6" spans="1:37" x14ac:dyDescent="0.35">
      <c r="A6" s="68"/>
      <c r="B6" s="9">
        <v>1</v>
      </c>
      <c r="C6" s="13">
        <v>6706.4101823751162</v>
      </c>
      <c r="D6" s="14">
        <v>33170.400311185367</v>
      </c>
      <c r="E6" s="15">
        <v>3448.7870480534257</v>
      </c>
      <c r="F6" s="13">
        <v>213.25718118608421</v>
      </c>
      <c r="G6" s="14">
        <v>128.4318567569085</v>
      </c>
      <c r="H6" s="15">
        <v>359.24591801013634</v>
      </c>
      <c r="I6" s="13">
        <v>7186.0409066861985</v>
      </c>
      <c r="J6" s="14">
        <v>3781.681212836274</v>
      </c>
      <c r="K6" s="15">
        <v>3211.7732896639568</v>
      </c>
      <c r="L6" s="13">
        <v>1994.9966394269916</v>
      </c>
      <c r="M6" s="14">
        <v>7385.0177126230228</v>
      </c>
      <c r="N6" s="15">
        <v>7293.0080884970812</v>
      </c>
      <c r="O6" s="13">
        <v>7726.7018598271779</v>
      </c>
      <c r="P6" s="14">
        <v>7106.8303220729176</v>
      </c>
      <c r="Q6" s="15">
        <v>12415.399354847557</v>
      </c>
      <c r="R6" s="13">
        <v>812.20867969146786</v>
      </c>
      <c r="S6" s="14">
        <v>2188.2054258549083</v>
      </c>
      <c r="T6" s="15">
        <v>2286.7461477509378</v>
      </c>
      <c r="U6" s="13">
        <v>69607.849410942217</v>
      </c>
      <c r="V6" s="14">
        <v>48.045205324255733</v>
      </c>
      <c r="W6" s="15">
        <v>197.14083025546265</v>
      </c>
      <c r="X6" s="13">
        <v>0.23195935415142524</v>
      </c>
      <c r="Y6" s="14">
        <v>49.43344881185002</v>
      </c>
      <c r="Z6" s="15">
        <v>42.889003654464183</v>
      </c>
      <c r="AA6" s="13">
        <v>356.75149375421006</v>
      </c>
      <c r="AB6" s="14">
        <v>138.62542667301491</v>
      </c>
      <c r="AC6" s="15">
        <v>326.37646682113353</v>
      </c>
      <c r="AD6" s="13">
        <v>47.872173528673862</v>
      </c>
      <c r="AE6" s="14">
        <v>19.149955663722253</v>
      </c>
      <c r="AF6" s="15">
        <v>74.415284663053981</v>
      </c>
    </row>
    <row r="7" spans="1:37" x14ac:dyDescent="0.35">
      <c r="A7" s="68"/>
      <c r="B7" s="9">
        <v>10</v>
      </c>
      <c r="C7" s="13">
        <v>8687.0713539654444</v>
      </c>
      <c r="D7" s="14">
        <v>12125.644432325491</v>
      </c>
      <c r="E7" s="15">
        <v>22196.841777335256</v>
      </c>
      <c r="F7" s="13">
        <v>3058.3974633719386</v>
      </c>
      <c r="G7" s="14">
        <v>2341.3843591790487</v>
      </c>
      <c r="H7" s="15">
        <v>5892.1194125706097</v>
      </c>
      <c r="I7" s="13">
        <v>32358.432917025893</v>
      </c>
      <c r="J7" s="14">
        <v>11943.367970974192</v>
      </c>
      <c r="K7" s="15">
        <v>13035.411731886235</v>
      </c>
      <c r="L7" s="13">
        <v>11746.274038815965</v>
      </c>
      <c r="M7" s="14">
        <v>22539.321099954745</v>
      </c>
      <c r="N7" s="15">
        <v>18511.009603719151</v>
      </c>
      <c r="O7" s="13">
        <v>26998.783873523418</v>
      </c>
      <c r="P7" s="14">
        <v>26379.576607670737</v>
      </c>
      <c r="Q7" s="15">
        <v>23690.680966881326</v>
      </c>
      <c r="R7" s="13">
        <v>1275.7189412562948</v>
      </c>
      <c r="S7" s="14">
        <v>3898.6325421830343</v>
      </c>
      <c r="T7" s="15">
        <v>5896.1773067907252</v>
      </c>
      <c r="U7" s="13">
        <v>1088.4605562341385</v>
      </c>
      <c r="V7" s="14">
        <v>1350.6369675277404</v>
      </c>
      <c r="W7" s="15">
        <v>5009.4431240327867</v>
      </c>
      <c r="X7" s="13">
        <v>1542.8050574207898</v>
      </c>
      <c r="Y7" s="14">
        <v>5487.5756245326456</v>
      </c>
      <c r="Z7" s="15">
        <v>7347.6304606198046</v>
      </c>
      <c r="AA7" s="13">
        <v>1794.9006180030153</v>
      </c>
      <c r="AB7" s="14">
        <v>1086.8098089336627</v>
      </c>
      <c r="AC7" s="15">
        <v>1471.0812607402388</v>
      </c>
      <c r="AD7" s="13">
        <v>305.09452387677135</v>
      </c>
      <c r="AE7" s="14">
        <v>186.63569784266394</v>
      </c>
      <c r="AF7" s="15">
        <v>1015.2417849153292</v>
      </c>
    </row>
    <row r="8" spans="1:37" ht="15" thickBot="1" x14ac:dyDescent="0.4">
      <c r="A8" s="69"/>
      <c r="B8" s="10">
        <v>100</v>
      </c>
      <c r="C8" s="16">
        <v>11782.103215226625</v>
      </c>
      <c r="D8" s="17">
        <v>12087.269875927617</v>
      </c>
      <c r="E8" s="18">
        <v>9579.3379297108913</v>
      </c>
      <c r="F8" s="16">
        <v>6791.4950667586354</v>
      </c>
      <c r="G8" s="17">
        <v>5539.6043334879387</v>
      </c>
      <c r="H8" s="18">
        <v>9299.5226841725671</v>
      </c>
      <c r="I8" s="16">
        <v>38798.366504433194</v>
      </c>
      <c r="J8" s="17">
        <v>18295.331708982187</v>
      </c>
      <c r="K8" s="18">
        <v>25681.773428404726</v>
      </c>
      <c r="L8" s="16">
        <v>13001.96375803021</v>
      </c>
      <c r="M8" s="17">
        <v>42921.159672064496</v>
      </c>
      <c r="N8" s="18">
        <v>28748.407484612177</v>
      </c>
      <c r="O8" s="16">
        <v>35652.380240085586</v>
      </c>
      <c r="P8" s="17">
        <v>24573.796554284207</v>
      </c>
      <c r="Q8" s="18">
        <v>21373.13693871169</v>
      </c>
      <c r="R8" s="16">
        <v>2751.2015145559772</v>
      </c>
      <c r="S8" s="17">
        <v>5871.1014369027052</v>
      </c>
      <c r="T8" s="18">
        <v>10103.566453626316</v>
      </c>
      <c r="U8" s="16">
        <v>3497.8569636650168</v>
      </c>
      <c r="V8" s="17">
        <v>6118.9073074351645</v>
      </c>
      <c r="W8" s="18">
        <v>18198.77585201828</v>
      </c>
      <c r="X8" s="16">
        <v>4521.0188352869463</v>
      </c>
      <c r="Y8" s="17">
        <v>12176.981186797371</v>
      </c>
      <c r="Z8" s="18">
        <v>17578.209563653825</v>
      </c>
      <c r="AA8" s="16">
        <v>3340.780527416448</v>
      </c>
      <c r="AB8" s="17">
        <v>1291.4103127588039</v>
      </c>
      <c r="AC8" s="18">
        <v>2574.9687816972064</v>
      </c>
      <c r="AD8" s="16">
        <v>753.94622662335121</v>
      </c>
      <c r="AE8" s="17">
        <v>437.35990191923543</v>
      </c>
      <c r="AF8" s="18">
        <v>2352.7511272322158</v>
      </c>
    </row>
    <row r="9" spans="1:37" ht="15" thickBot="1" x14ac:dyDescent="0.4">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row>
    <row r="10" spans="1:37" ht="15" thickBot="1" x14ac:dyDescent="0.4">
      <c r="C10" s="49" t="s">
        <v>19</v>
      </c>
      <c r="D10" s="50"/>
      <c r="E10" s="50"/>
      <c r="F10" s="50"/>
      <c r="G10" s="50"/>
      <c r="H10" s="50"/>
      <c r="I10" s="50"/>
      <c r="J10" s="50"/>
      <c r="K10" s="50"/>
      <c r="L10" s="50"/>
      <c r="M10" s="50"/>
      <c r="N10" s="50"/>
      <c r="O10" s="50"/>
      <c r="P10" s="50"/>
      <c r="Q10" s="51"/>
      <c r="R10" s="52" t="s">
        <v>17</v>
      </c>
      <c r="S10" s="53"/>
      <c r="T10" s="53"/>
      <c r="U10" s="53"/>
      <c r="V10" s="53"/>
      <c r="W10" s="53"/>
      <c r="X10" s="53"/>
      <c r="Y10" s="53"/>
      <c r="Z10" s="53"/>
      <c r="AA10" s="53"/>
      <c r="AB10" s="53"/>
      <c r="AC10" s="53"/>
      <c r="AD10" s="53"/>
      <c r="AE10" s="53"/>
      <c r="AF10" s="54"/>
    </row>
    <row r="11" spans="1:37" x14ac:dyDescent="0.35">
      <c r="A11" s="67" t="s">
        <v>0</v>
      </c>
      <c r="B11" s="8" t="s">
        <v>15</v>
      </c>
      <c r="C11" s="70" t="s">
        <v>5</v>
      </c>
      <c r="D11" s="71"/>
      <c r="E11" s="72"/>
      <c r="F11" s="70" t="s">
        <v>6</v>
      </c>
      <c r="G11" s="71"/>
      <c r="H11" s="72"/>
      <c r="I11" s="70" t="s">
        <v>7</v>
      </c>
      <c r="J11" s="71"/>
      <c r="K11" s="72"/>
      <c r="L11" s="70" t="s">
        <v>8</v>
      </c>
      <c r="M11" s="71"/>
      <c r="N11" s="72"/>
      <c r="O11" s="70" t="s">
        <v>9</v>
      </c>
      <c r="P11" s="71"/>
      <c r="Q11" s="72"/>
      <c r="R11" s="70" t="s">
        <v>10</v>
      </c>
      <c r="S11" s="71"/>
      <c r="T11" s="72"/>
      <c r="U11" s="70" t="s">
        <v>11</v>
      </c>
      <c r="V11" s="71"/>
      <c r="W11" s="72"/>
      <c r="X11" s="70" t="s">
        <v>12</v>
      </c>
      <c r="Y11" s="71"/>
      <c r="Z11" s="72"/>
      <c r="AA11" s="70" t="s">
        <v>13</v>
      </c>
      <c r="AB11" s="71"/>
      <c r="AC11" s="72"/>
      <c r="AD11" s="70" t="s">
        <v>14</v>
      </c>
      <c r="AE11" s="71"/>
      <c r="AF11" s="72"/>
      <c r="AH11" t="s">
        <v>31</v>
      </c>
      <c r="AI11" t="s">
        <v>32</v>
      </c>
      <c r="AJ11" t="s">
        <v>33</v>
      </c>
      <c r="AK11" t="s">
        <v>34</v>
      </c>
    </row>
    <row r="12" spans="1:37" x14ac:dyDescent="0.35">
      <c r="A12" s="68"/>
      <c r="B12" s="9">
        <v>0</v>
      </c>
      <c r="C12" s="13">
        <v>0.48</v>
      </c>
      <c r="D12" s="14">
        <v>0.97</v>
      </c>
      <c r="E12" s="15">
        <v>2.14</v>
      </c>
      <c r="F12" s="13">
        <v>0.67</v>
      </c>
      <c r="G12" s="14">
        <v>0.95</v>
      </c>
      <c r="H12" s="15">
        <v>1.58</v>
      </c>
      <c r="I12" s="13">
        <v>1.31</v>
      </c>
      <c r="J12" s="14">
        <v>1.08</v>
      </c>
      <c r="K12" s="15">
        <v>0.71</v>
      </c>
      <c r="L12" s="13">
        <v>1.53</v>
      </c>
      <c r="M12" s="14">
        <v>0.99</v>
      </c>
      <c r="N12" s="15">
        <v>0.66</v>
      </c>
      <c r="O12" s="13">
        <v>0.82</v>
      </c>
      <c r="P12" s="14">
        <v>1.41</v>
      </c>
      <c r="Q12" s="15">
        <v>0.86</v>
      </c>
      <c r="R12" s="13">
        <v>1.73</v>
      </c>
      <c r="S12" s="14">
        <v>0.42</v>
      </c>
      <c r="T12" s="15">
        <v>1.38</v>
      </c>
      <c r="U12" s="13">
        <v>0.96</v>
      </c>
      <c r="V12" s="14">
        <v>1.46</v>
      </c>
      <c r="W12" s="15">
        <v>0.71</v>
      </c>
      <c r="X12" s="13">
        <v>1.44</v>
      </c>
      <c r="Y12" s="14">
        <v>0.61</v>
      </c>
      <c r="Z12" s="15">
        <v>1.1399999999999999</v>
      </c>
      <c r="AA12" s="13">
        <v>0.78</v>
      </c>
      <c r="AB12" s="14">
        <v>1.0900000000000001</v>
      </c>
      <c r="AC12" s="15">
        <v>1.17</v>
      </c>
      <c r="AD12" s="13">
        <v>0.78</v>
      </c>
      <c r="AE12" s="14">
        <v>0.81</v>
      </c>
      <c r="AF12" s="15">
        <v>1.59</v>
      </c>
      <c r="AH12" s="32">
        <f>AVERAGE(C16:AF16)</f>
        <v>16683.623666666666</v>
      </c>
      <c r="AI12">
        <f>GEOMEAN(C16:AF16)</f>
        <v>8941.1041847217566</v>
      </c>
      <c r="AJ12" s="32">
        <f>MIN(C16:AF16)</f>
        <v>1234.3599999999999</v>
      </c>
      <c r="AK12" s="32">
        <f>MAX(C16:AF16)</f>
        <v>71320.73</v>
      </c>
    </row>
    <row r="13" spans="1:37" x14ac:dyDescent="0.35">
      <c r="A13" s="68"/>
      <c r="B13" s="9">
        <v>0.1</v>
      </c>
      <c r="C13" s="13">
        <v>362.52</v>
      </c>
      <c r="D13" s="14">
        <v>863.85</v>
      </c>
      <c r="E13" s="15">
        <v>966.54</v>
      </c>
      <c r="F13" s="13">
        <v>33.79</v>
      </c>
      <c r="G13" s="14">
        <v>269.42</v>
      </c>
      <c r="H13" s="15">
        <v>254.64</v>
      </c>
      <c r="I13" s="13">
        <v>982.14</v>
      </c>
      <c r="J13" s="14">
        <v>727.53</v>
      </c>
      <c r="K13" s="15">
        <v>1257.76</v>
      </c>
      <c r="L13" s="13">
        <v>3759.43</v>
      </c>
      <c r="M13" s="14">
        <v>4446.72</v>
      </c>
      <c r="N13" s="15">
        <v>1677.75</v>
      </c>
      <c r="O13" s="13">
        <v>2279.19</v>
      </c>
      <c r="P13" s="14">
        <v>6206.21</v>
      </c>
      <c r="Q13" s="15">
        <v>5429.72</v>
      </c>
      <c r="R13" s="13">
        <v>111.2</v>
      </c>
      <c r="S13" s="14">
        <v>93.43</v>
      </c>
      <c r="T13" s="15">
        <v>216.33</v>
      </c>
      <c r="U13" s="13">
        <v>10.72</v>
      </c>
      <c r="V13" s="14">
        <v>27.68</v>
      </c>
      <c r="W13" s="15">
        <v>139.66999999999999</v>
      </c>
      <c r="X13" s="13">
        <v>0.87</v>
      </c>
      <c r="Y13" s="14">
        <v>0.27</v>
      </c>
      <c r="Z13" s="15">
        <v>20.329999999999998</v>
      </c>
      <c r="AA13" s="13">
        <v>786.16</v>
      </c>
      <c r="AB13" s="14">
        <v>675.66</v>
      </c>
      <c r="AC13" s="15">
        <v>447.41</v>
      </c>
      <c r="AD13" s="13">
        <v>9.4700000000000006</v>
      </c>
      <c r="AE13" s="14">
        <v>46.99</v>
      </c>
      <c r="AF13" s="15">
        <v>47.4</v>
      </c>
      <c r="AG13" t="s">
        <v>35</v>
      </c>
      <c r="AH13">
        <f>COUNTIF(C16:AF16, "&lt; 13189")</f>
        <v>20</v>
      </c>
      <c r="AI13">
        <f>COUNTIF(C16:AF16, "&lt; 8030.155")</f>
        <v>14</v>
      </c>
    </row>
    <row r="14" spans="1:37" x14ac:dyDescent="0.35">
      <c r="A14" s="68"/>
      <c r="B14" s="9">
        <v>1</v>
      </c>
      <c r="C14" s="13">
        <v>1739.23</v>
      </c>
      <c r="D14" s="14">
        <v>1744.66</v>
      </c>
      <c r="E14" s="15">
        <v>13020.57</v>
      </c>
      <c r="F14" s="13">
        <v>343.43</v>
      </c>
      <c r="G14" s="14">
        <v>4830.67</v>
      </c>
      <c r="H14" s="15">
        <v>4692.5</v>
      </c>
      <c r="I14" s="13">
        <v>3753.83</v>
      </c>
      <c r="J14" s="14">
        <v>2558.85</v>
      </c>
      <c r="K14" s="15">
        <v>2093.4299999999998</v>
      </c>
      <c r="L14" s="13">
        <v>28530.23</v>
      </c>
      <c r="M14" s="14">
        <v>27083.67</v>
      </c>
      <c r="N14" s="15">
        <v>12586.26</v>
      </c>
      <c r="O14" s="13">
        <v>12585.91</v>
      </c>
      <c r="P14" s="14">
        <v>14156.97</v>
      </c>
      <c r="Q14" s="15">
        <v>25568.11</v>
      </c>
      <c r="R14" s="13">
        <v>348.15</v>
      </c>
      <c r="S14" s="14">
        <v>639.28</v>
      </c>
      <c r="T14" s="15">
        <v>1478.43</v>
      </c>
      <c r="U14" s="13">
        <v>235.63</v>
      </c>
      <c r="V14" s="14">
        <v>301.61</v>
      </c>
      <c r="W14" s="15">
        <v>2052.4899999999998</v>
      </c>
      <c r="X14" s="13">
        <v>24.23</v>
      </c>
      <c r="Y14" s="14">
        <v>84.06</v>
      </c>
      <c r="Z14" s="15">
        <v>0.79</v>
      </c>
      <c r="AA14" s="13">
        <v>3664.02</v>
      </c>
      <c r="AB14" s="14">
        <v>3499.44</v>
      </c>
      <c r="AC14" s="15">
        <v>2324.89</v>
      </c>
      <c r="AD14" s="13">
        <v>332.48</v>
      </c>
      <c r="AE14" s="14">
        <v>1017.19</v>
      </c>
      <c r="AF14" s="15">
        <v>910.91</v>
      </c>
    </row>
    <row r="15" spans="1:37" x14ac:dyDescent="0.35">
      <c r="A15" s="68"/>
      <c r="B15" s="9">
        <v>10</v>
      </c>
      <c r="C15" s="13">
        <v>2545.6999999999998</v>
      </c>
      <c r="D15" s="14">
        <v>3999.76</v>
      </c>
      <c r="E15" s="15">
        <v>45996.11</v>
      </c>
      <c r="F15" s="13">
        <v>5541.19</v>
      </c>
      <c r="G15" s="14">
        <v>59882.26</v>
      </c>
      <c r="H15" s="15">
        <v>55714.36</v>
      </c>
      <c r="I15" s="13">
        <v>7257.99</v>
      </c>
      <c r="J15" s="14">
        <v>3121.83</v>
      </c>
      <c r="K15" s="15">
        <v>4213.38</v>
      </c>
      <c r="L15" s="13">
        <v>60956.57</v>
      </c>
      <c r="M15" s="14">
        <v>35570.22</v>
      </c>
      <c r="N15" s="15">
        <v>12423.38</v>
      </c>
      <c r="O15" s="13">
        <v>13571.21</v>
      </c>
      <c r="P15" s="14">
        <v>32589.53</v>
      </c>
      <c r="Q15" s="15">
        <v>36557.339999999997</v>
      </c>
      <c r="R15" s="13">
        <v>1587.17</v>
      </c>
      <c r="S15" s="14">
        <v>1047.6199999999999</v>
      </c>
      <c r="T15" s="15">
        <v>2009.68</v>
      </c>
      <c r="U15" s="13">
        <v>3681.02</v>
      </c>
      <c r="V15" s="14">
        <v>4937.99</v>
      </c>
      <c r="W15" s="15">
        <v>35881.360000000001</v>
      </c>
      <c r="X15" s="13">
        <v>738.71</v>
      </c>
      <c r="Y15" s="14">
        <v>495.3</v>
      </c>
      <c r="Z15" s="15">
        <v>847.98</v>
      </c>
      <c r="AA15" s="13">
        <v>12937.42</v>
      </c>
      <c r="AB15" s="14">
        <v>8579.1299999999992</v>
      </c>
      <c r="AC15" s="15">
        <v>5955.4</v>
      </c>
      <c r="AD15" s="13">
        <v>2301.31</v>
      </c>
      <c r="AE15" s="14">
        <v>4888.6000000000004</v>
      </c>
      <c r="AF15" s="15">
        <v>4811.18</v>
      </c>
    </row>
    <row r="16" spans="1:37" ht="15" thickBot="1" x14ac:dyDescent="0.4">
      <c r="A16" s="69"/>
      <c r="B16" s="10">
        <v>100</v>
      </c>
      <c r="C16" s="16">
        <v>2525.64</v>
      </c>
      <c r="D16" s="17">
        <v>2676.17</v>
      </c>
      <c r="E16" s="18">
        <v>6913.55</v>
      </c>
      <c r="F16" s="16">
        <v>7200.49</v>
      </c>
      <c r="G16" s="17">
        <v>50194.69</v>
      </c>
      <c r="H16" s="18">
        <v>60218.400000000001</v>
      </c>
      <c r="I16" s="16">
        <v>12164.56</v>
      </c>
      <c r="J16" s="17">
        <v>2775.25</v>
      </c>
      <c r="K16" s="18">
        <v>4529.03</v>
      </c>
      <c r="L16" s="16">
        <v>71320.73</v>
      </c>
      <c r="M16" s="17">
        <v>46990.52</v>
      </c>
      <c r="N16" s="18">
        <v>12546.72</v>
      </c>
      <c r="O16" s="16">
        <v>12897.89</v>
      </c>
      <c r="P16" s="17">
        <v>28045.759999999998</v>
      </c>
      <c r="Q16" s="18">
        <v>15247.94</v>
      </c>
      <c r="R16" s="16">
        <v>2403.2199999999998</v>
      </c>
      <c r="S16" s="17">
        <v>1234.3599999999999</v>
      </c>
      <c r="T16" s="18">
        <v>2484.79</v>
      </c>
      <c r="U16" s="16">
        <v>11621.34</v>
      </c>
      <c r="V16" s="17">
        <v>13357.97</v>
      </c>
      <c r="W16" s="18">
        <v>56563.11</v>
      </c>
      <c r="X16" s="16">
        <v>1793.07</v>
      </c>
      <c r="Y16" s="17">
        <v>20447.57</v>
      </c>
      <c r="Z16" s="18">
        <v>4152.95</v>
      </c>
      <c r="AA16" s="16">
        <v>18669.75</v>
      </c>
      <c r="AB16" s="17">
        <v>7645.32</v>
      </c>
      <c r="AC16" s="18">
        <v>5263.99</v>
      </c>
      <c r="AD16" s="16">
        <v>1854.59</v>
      </c>
      <c r="AE16" s="17">
        <v>8272.75</v>
      </c>
      <c r="AF16" s="18">
        <v>8496.59</v>
      </c>
    </row>
    <row r="17" spans="1:37" ht="15" thickBot="1" x14ac:dyDescent="0.4">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row>
    <row r="18" spans="1:37" ht="15" thickBot="1" x14ac:dyDescent="0.4">
      <c r="C18" s="49" t="s">
        <v>19</v>
      </c>
      <c r="D18" s="50"/>
      <c r="E18" s="50"/>
      <c r="F18" s="50"/>
      <c r="G18" s="50"/>
      <c r="H18" s="50"/>
      <c r="I18" s="50"/>
      <c r="J18" s="50"/>
      <c r="K18" s="50"/>
      <c r="L18" s="50"/>
      <c r="M18" s="50"/>
      <c r="N18" s="50"/>
      <c r="O18" s="50"/>
      <c r="P18" s="50"/>
      <c r="Q18" s="51"/>
      <c r="R18" s="52" t="s">
        <v>17</v>
      </c>
      <c r="S18" s="53"/>
      <c r="T18" s="53"/>
      <c r="U18" s="53"/>
      <c r="V18" s="53"/>
      <c r="W18" s="53"/>
      <c r="X18" s="53"/>
      <c r="Y18" s="53"/>
      <c r="Z18" s="53"/>
      <c r="AA18" s="53"/>
      <c r="AB18" s="53"/>
      <c r="AC18" s="53"/>
      <c r="AD18" s="53"/>
      <c r="AE18" s="53"/>
      <c r="AF18" s="54"/>
    </row>
    <row r="19" spans="1:37" x14ac:dyDescent="0.35">
      <c r="A19" s="67" t="s">
        <v>26</v>
      </c>
      <c r="B19" s="8" t="s">
        <v>15</v>
      </c>
      <c r="C19" s="70" t="s">
        <v>5</v>
      </c>
      <c r="D19" s="71"/>
      <c r="E19" s="72"/>
      <c r="F19" s="70" t="s">
        <v>6</v>
      </c>
      <c r="G19" s="71"/>
      <c r="H19" s="72"/>
      <c r="I19" s="70" t="s">
        <v>7</v>
      </c>
      <c r="J19" s="71"/>
      <c r="K19" s="72"/>
      <c r="L19" s="70" t="s">
        <v>8</v>
      </c>
      <c r="M19" s="71"/>
      <c r="N19" s="72"/>
      <c r="O19" s="70" t="s">
        <v>9</v>
      </c>
      <c r="P19" s="71"/>
      <c r="Q19" s="72"/>
      <c r="R19" s="70" t="s">
        <v>10</v>
      </c>
      <c r="S19" s="71"/>
      <c r="T19" s="72"/>
      <c r="U19" s="70" t="s">
        <v>11</v>
      </c>
      <c r="V19" s="71"/>
      <c r="W19" s="72"/>
      <c r="X19" s="70" t="s">
        <v>12</v>
      </c>
      <c r="Y19" s="71"/>
      <c r="Z19" s="72"/>
      <c r="AA19" s="70" t="s">
        <v>13</v>
      </c>
      <c r="AB19" s="71"/>
      <c r="AC19" s="72"/>
      <c r="AD19" s="70" t="s">
        <v>14</v>
      </c>
      <c r="AE19" s="71"/>
      <c r="AF19" s="72"/>
      <c r="AH19" t="s">
        <v>31</v>
      </c>
      <c r="AI19" t="s">
        <v>32</v>
      </c>
      <c r="AJ19" t="s">
        <v>33</v>
      </c>
      <c r="AK19" t="s">
        <v>34</v>
      </c>
    </row>
    <row r="20" spans="1:37" x14ac:dyDescent="0.35">
      <c r="A20" s="68"/>
      <c r="B20" s="9">
        <v>0</v>
      </c>
      <c r="C20" s="13">
        <v>1.0671622688877174</v>
      </c>
      <c r="D20" s="14">
        <v>2.441310556330833</v>
      </c>
      <c r="E20" s="15">
        <v>0.38383671097162886</v>
      </c>
      <c r="F20" s="13">
        <v>3.8132557126684152</v>
      </c>
      <c r="G20" s="14">
        <v>0.36842288216860164</v>
      </c>
      <c r="H20" s="15">
        <v>0.7117991658679732</v>
      </c>
      <c r="I20" s="13">
        <v>0.63411581351827129</v>
      </c>
      <c r="J20" s="14">
        <v>1.5734773520603011</v>
      </c>
      <c r="K20" s="15">
        <v>1.0022381268713836</v>
      </c>
      <c r="L20" s="13">
        <v>0.86995623332344507</v>
      </c>
      <c r="M20" s="14">
        <v>0.84358924352217535</v>
      </c>
      <c r="N20" s="15">
        <v>1.3626099700580769</v>
      </c>
      <c r="O20" s="13">
        <v>0.57561681060448455</v>
      </c>
      <c r="P20" s="14">
        <v>1.4895495848246583</v>
      </c>
      <c r="Q20" s="15">
        <v>1.16630346639789</v>
      </c>
      <c r="R20" s="13">
        <v>0.63386533679183488</v>
      </c>
      <c r="S20" s="14">
        <v>1.2805031055540279</v>
      </c>
      <c r="T20" s="15">
        <v>1.2320330582184449</v>
      </c>
      <c r="U20" s="13">
        <v>0.67590988891539427</v>
      </c>
      <c r="V20" s="14">
        <v>1.3725532597000214</v>
      </c>
      <c r="W20" s="15">
        <v>1.0779087417071711</v>
      </c>
      <c r="X20" s="13">
        <v>0.58929482437961733</v>
      </c>
      <c r="Y20" s="14">
        <v>1.7174915504208272</v>
      </c>
      <c r="Z20" s="15">
        <v>0.98803598921113089</v>
      </c>
      <c r="AA20" s="13">
        <v>1.8148763119420503</v>
      </c>
      <c r="AB20" s="14">
        <v>0.20198702024636114</v>
      </c>
      <c r="AC20" s="15">
        <v>2.7279066553460054</v>
      </c>
      <c r="AD20" s="13">
        <v>4.9531896979022561</v>
      </c>
      <c r="AE20" s="14">
        <v>0.49702814260059264</v>
      </c>
      <c r="AF20" s="15">
        <v>0.40619451914148391</v>
      </c>
      <c r="AH20" s="32">
        <f>AVERAGE(C24:AF24)</f>
        <v>13825.386716955301</v>
      </c>
      <c r="AI20">
        <f>GEOMEAN(C24:AF24)</f>
        <v>6680.7541018372558</v>
      </c>
      <c r="AJ20" s="32">
        <f>MIN(C24:AF24)</f>
        <v>422.39454569371566</v>
      </c>
      <c r="AK20" s="32">
        <f>MAX(C24:AF24)</f>
        <v>60886.298205334817</v>
      </c>
    </row>
    <row r="21" spans="1:37" x14ac:dyDescent="0.35">
      <c r="A21" s="68"/>
      <c r="B21" s="9">
        <v>0.1</v>
      </c>
      <c r="C21" s="13">
        <v>230.07487961137517</v>
      </c>
      <c r="D21" s="14">
        <v>510.47679942354455</v>
      </c>
      <c r="E21" s="15">
        <v>90.484183911212099</v>
      </c>
      <c r="F21" s="13">
        <v>19.116771011295832</v>
      </c>
      <c r="G21" s="14">
        <v>14.246140179266964</v>
      </c>
      <c r="H21" s="15">
        <v>27.278575767545284</v>
      </c>
      <c r="I21" s="13">
        <v>103.79524548971608</v>
      </c>
      <c r="J21" s="14">
        <v>361.15426687066758</v>
      </c>
      <c r="K21" s="15">
        <v>355.06493632393244</v>
      </c>
      <c r="L21" s="13">
        <v>356.00259064286291</v>
      </c>
      <c r="M21" s="14">
        <v>1421.3592437653683</v>
      </c>
      <c r="N21" s="15">
        <v>2501.028736011343</v>
      </c>
      <c r="O21" s="13">
        <v>290.39440049370666</v>
      </c>
      <c r="P21" s="14">
        <v>1821.5104842597843</v>
      </c>
      <c r="Q21" s="15">
        <v>1611.3572765189217</v>
      </c>
      <c r="R21" s="13">
        <v>187.47229702142755</v>
      </c>
      <c r="S21" s="14">
        <v>1440.6374481747084</v>
      </c>
      <c r="T21" s="15">
        <v>1132.7284523411984</v>
      </c>
      <c r="U21" s="13">
        <v>4.2731935433158466</v>
      </c>
      <c r="V21" s="14">
        <v>6.8301037269565592</v>
      </c>
      <c r="W21" s="15">
        <v>20.383590664796607</v>
      </c>
      <c r="X21" s="13">
        <v>0.49028420102658565</v>
      </c>
      <c r="Y21" s="14">
        <v>1.4462253463045946</v>
      </c>
      <c r="Z21" s="15">
        <v>1.1873140993794098</v>
      </c>
      <c r="AA21" s="13">
        <v>42.095078180137023</v>
      </c>
      <c r="AB21" s="14">
        <v>56.677210869541604</v>
      </c>
      <c r="AC21" s="15">
        <v>75.518590843284301</v>
      </c>
      <c r="AD21" s="13">
        <v>0.81486577827608975</v>
      </c>
      <c r="AE21" s="14">
        <v>1.0537799342157901</v>
      </c>
      <c r="AF21" s="15">
        <v>1.2625133337772156</v>
      </c>
      <c r="AG21" t="s">
        <v>35</v>
      </c>
      <c r="AH21">
        <f>COUNTIF(C24:AF24, "&lt; 13189")</f>
        <v>18</v>
      </c>
      <c r="AI21">
        <f>COUNTIF(C24:AF24, "&lt; 8030.155")</f>
        <v>14</v>
      </c>
    </row>
    <row r="22" spans="1:37" x14ac:dyDescent="0.35">
      <c r="A22" s="68"/>
      <c r="B22" s="9">
        <v>1</v>
      </c>
      <c r="C22" s="13">
        <v>1184.2858863132392</v>
      </c>
      <c r="D22" s="14">
        <v>13366.874836270692</v>
      </c>
      <c r="E22" s="15">
        <v>854.17568184695244</v>
      </c>
      <c r="F22" s="13">
        <v>495.34216896257158</v>
      </c>
      <c r="G22" s="14">
        <v>378.78009281851786</v>
      </c>
      <c r="H22" s="15">
        <v>722.75126429338457</v>
      </c>
      <c r="I22" s="13">
        <v>833.63820579532512</v>
      </c>
      <c r="J22" s="14">
        <v>1198.1256121603437</v>
      </c>
      <c r="K22" s="15">
        <v>855.79434669122304</v>
      </c>
      <c r="L22" s="13">
        <v>4314.5025367260796</v>
      </c>
      <c r="M22" s="14">
        <v>7622.5084821454266</v>
      </c>
      <c r="N22" s="15">
        <v>16696.637834978814</v>
      </c>
      <c r="O22" s="13">
        <v>1701.7615656184873</v>
      </c>
      <c r="P22" s="14">
        <v>6784.0422204073975</v>
      </c>
      <c r="Q22" s="15">
        <v>8538.4334933090922</v>
      </c>
      <c r="R22" s="13">
        <v>1126.4234090250927</v>
      </c>
      <c r="S22" s="14">
        <v>6403.1167333272124</v>
      </c>
      <c r="T22" s="15">
        <v>6885.5473829591319</v>
      </c>
      <c r="U22" s="13">
        <v>86.482958605635687</v>
      </c>
      <c r="V22" s="14">
        <v>78.944270956554121</v>
      </c>
      <c r="W22" s="15">
        <v>312.49057428985833</v>
      </c>
      <c r="X22" s="13">
        <v>0.27221616931952736</v>
      </c>
      <c r="Y22" s="14">
        <v>25.370785517149393</v>
      </c>
      <c r="Z22" s="15">
        <v>31.73533212120547</v>
      </c>
      <c r="AA22" s="13">
        <v>294.54071771952908</v>
      </c>
      <c r="AB22" s="14">
        <v>165.27461298630485</v>
      </c>
      <c r="AC22" s="15">
        <v>373.16838091085629</v>
      </c>
      <c r="AD22" s="13">
        <v>35.566201213109956</v>
      </c>
      <c r="AE22" s="14">
        <v>14.014463523806082</v>
      </c>
      <c r="AF22" s="15">
        <v>37.413707221499557</v>
      </c>
    </row>
    <row r="23" spans="1:37" x14ac:dyDescent="0.35">
      <c r="A23" s="68"/>
      <c r="B23" s="9">
        <v>10</v>
      </c>
      <c r="C23" s="13">
        <v>1550.3704412578484</v>
      </c>
      <c r="D23" s="14">
        <v>2900.0570854596722</v>
      </c>
      <c r="E23" s="15">
        <v>5411.2664452835197</v>
      </c>
      <c r="F23" s="13">
        <v>9407.5711328731704</v>
      </c>
      <c r="G23" s="14">
        <v>7893.2157226761419</v>
      </c>
      <c r="H23" s="15">
        <v>12440.616991555522</v>
      </c>
      <c r="I23" s="13">
        <v>3555.6356006247315</v>
      </c>
      <c r="J23" s="14">
        <v>3540.3135099695446</v>
      </c>
      <c r="K23" s="15">
        <v>3365.3043356973321</v>
      </c>
      <c r="L23" s="13">
        <v>20486.439600070957</v>
      </c>
      <c r="M23" s="14">
        <v>20285.904753395604</v>
      </c>
      <c r="N23" s="15">
        <v>37817.285248519984</v>
      </c>
      <c r="O23" s="13">
        <v>8139.0289136969423</v>
      </c>
      <c r="P23" s="14">
        <v>23688.524578472923</v>
      </c>
      <c r="Q23" s="15">
        <v>16836.745717144746</v>
      </c>
      <c r="R23" s="13">
        <v>2210.2155579592418</v>
      </c>
      <c r="S23" s="14">
        <v>11988.309345628259</v>
      </c>
      <c r="T23" s="15">
        <v>16816.950427939963</v>
      </c>
      <c r="U23" s="13">
        <v>2925.2126236034001</v>
      </c>
      <c r="V23" s="14">
        <v>4435.5708881170576</v>
      </c>
      <c r="W23" s="15">
        <v>16011.103392521245</v>
      </c>
      <c r="X23" s="13">
        <v>159.85167145724185</v>
      </c>
      <c r="Y23" s="14">
        <v>2485.3247711289987</v>
      </c>
      <c r="Z23" s="15">
        <v>5216.7242163113797</v>
      </c>
      <c r="AA23" s="13">
        <v>1131.0786060732401</v>
      </c>
      <c r="AB23" s="14">
        <v>1047.7774904738674</v>
      </c>
      <c r="AC23" s="15">
        <v>1393.2678674762728</v>
      </c>
      <c r="AD23" s="13">
        <v>327.71418579104983</v>
      </c>
      <c r="AE23" s="14">
        <v>241.22198889380294</v>
      </c>
      <c r="AF23" s="15">
        <v>838.08813767942968</v>
      </c>
    </row>
    <row r="24" spans="1:37" ht="15" thickBot="1" x14ac:dyDescent="0.4">
      <c r="A24" s="69"/>
      <c r="B24" s="10">
        <v>100</v>
      </c>
      <c r="C24" s="16">
        <v>1857.4589948251521</v>
      </c>
      <c r="D24" s="17">
        <v>2765.9274186668708</v>
      </c>
      <c r="E24" s="18">
        <v>1494.2334594601623</v>
      </c>
      <c r="F24" s="16">
        <v>17675.102352081878</v>
      </c>
      <c r="G24" s="17">
        <v>17104.933657670823</v>
      </c>
      <c r="H24" s="18">
        <v>19076.467417073898</v>
      </c>
      <c r="I24" s="16">
        <v>4736.2950049315086</v>
      </c>
      <c r="J24" s="17">
        <v>4904.2121674120754</v>
      </c>
      <c r="K24" s="18">
        <v>5487.9420131203105</v>
      </c>
      <c r="L24" s="16">
        <v>26398.113758052448</v>
      </c>
      <c r="M24" s="17">
        <v>47484.916009224646</v>
      </c>
      <c r="N24" s="18">
        <v>60886.298205334817</v>
      </c>
      <c r="O24" s="16">
        <v>8941.0506212440487</v>
      </c>
      <c r="P24" s="17">
        <v>24341.092052239452</v>
      </c>
      <c r="Q24" s="18">
        <v>15510.479793571336</v>
      </c>
      <c r="R24" s="16">
        <v>3276.1619494427237</v>
      </c>
      <c r="S24" s="17">
        <v>17117.395639001188</v>
      </c>
      <c r="T24" s="18">
        <v>27859.815217852993</v>
      </c>
      <c r="U24" s="16">
        <v>9229.1951375150911</v>
      </c>
      <c r="V24" s="17">
        <v>17070.696486494337</v>
      </c>
      <c r="W24" s="18">
        <v>51667.577186909075</v>
      </c>
      <c r="X24" s="16">
        <v>422.39454569371566</v>
      </c>
      <c r="Y24" s="17">
        <v>10200.834606806788</v>
      </c>
      <c r="Z24" s="18">
        <v>10032.235763664385</v>
      </c>
      <c r="AA24" s="16">
        <v>2068.4303902385418</v>
      </c>
      <c r="AB24" s="17">
        <v>1172.0472365047758</v>
      </c>
      <c r="AC24" s="18">
        <v>2157.3206944155727</v>
      </c>
      <c r="AD24" s="16">
        <v>976.29284365060607</v>
      </c>
      <c r="AE24" s="17">
        <v>608.08180584561501</v>
      </c>
      <c r="AF24" s="18">
        <v>2238.5990797141781</v>
      </c>
    </row>
  </sheetData>
  <mergeCells count="39">
    <mergeCell ref="AA19:AC19"/>
    <mergeCell ref="AD19:AF19"/>
    <mergeCell ref="A19:A24"/>
    <mergeCell ref="C19:E19"/>
    <mergeCell ref="F19:H19"/>
    <mergeCell ref="I19:K19"/>
    <mergeCell ref="L19:N19"/>
    <mergeCell ref="O19:Q19"/>
    <mergeCell ref="U11:W11"/>
    <mergeCell ref="X11:Z11"/>
    <mergeCell ref="R19:T19"/>
    <mergeCell ref="U19:W19"/>
    <mergeCell ref="X19:Z19"/>
    <mergeCell ref="A11:A16"/>
    <mergeCell ref="C11:E11"/>
    <mergeCell ref="F11:H11"/>
    <mergeCell ref="I11:K11"/>
    <mergeCell ref="L11:N11"/>
    <mergeCell ref="A3:A8"/>
    <mergeCell ref="C3:E3"/>
    <mergeCell ref="F3:H3"/>
    <mergeCell ref="I3:K3"/>
    <mergeCell ref="L3:N3"/>
    <mergeCell ref="C2:Q2"/>
    <mergeCell ref="R2:AF2"/>
    <mergeCell ref="C10:Q10"/>
    <mergeCell ref="R10:AF10"/>
    <mergeCell ref="C18:Q18"/>
    <mergeCell ref="R18:AF18"/>
    <mergeCell ref="O3:Q3"/>
    <mergeCell ref="AA11:AC11"/>
    <mergeCell ref="AD11:AF11"/>
    <mergeCell ref="R3:T3"/>
    <mergeCell ref="U3:W3"/>
    <mergeCell ref="X3:Z3"/>
    <mergeCell ref="AA3:AC3"/>
    <mergeCell ref="AD3:AF3"/>
    <mergeCell ref="O11:Q11"/>
    <mergeCell ref="R11:T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CB47-601F-4963-A51D-E3FC8A545577}">
  <dimension ref="A1:AF24"/>
  <sheetViews>
    <sheetView workbookViewId="0">
      <selection activeCell="A2" sqref="A2:XFD2"/>
    </sheetView>
  </sheetViews>
  <sheetFormatPr defaultRowHeight="14.5" x14ac:dyDescent="0.35"/>
  <cols>
    <col min="3" max="32" width="9.54296875" customWidth="1"/>
  </cols>
  <sheetData>
    <row r="1" spans="1:32" ht="15" thickBot="1" x14ac:dyDescent="0.4">
      <c r="A1" t="s">
        <v>24</v>
      </c>
    </row>
    <row r="2" spans="1:32" ht="15" thickBot="1" x14ac:dyDescent="0.4">
      <c r="C2" s="49" t="s">
        <v>19</v>
      </c>
      <c r="D2" s="50"/>
      <c r="E2" s="50"/>
      <c r="F2" s="50"/>
      <c r="G2" s="50"/>
      <c r="H2" s="50"/>
      <c r="I2" s="50"/>
      <c r="J2" s="50"/>
      <c r="K2" s="50"/>
      <c r="L2" s="50"/>
      <c r="M2" s="50"/>
      <c r="N2" s="50"/>
      <c r="O2" s="50"/>
      <c r="P2" s="50"/>
      <c r="Q2" s="51"/>
      <c r="R2" s="52" t="s">
        <v>17</v>
      </c>
      <c r="S2" s="53"/>
      <c r="T2" s="53"/>
      <c r="U2" s="53"/>
      <c r="V2" s="53"/>
      <c r="W2" s="53"/>
      <c r="X2" s="53"/>
      <c r="Y2" s="53"/>
      <c r="Z2" s="53"/>
      <c r="AA2" s="53"/>
      <c r="AB2" s="53"/>
      <c r="AC2" s="53"/>
      <c r="AD2" s="53"/>
      <c r="AE2" s="53"/>
      <c r="AF2" s="54"/>
    </row>
    <row r="3" spans="1:32" x14ac:dyDescent="0.35">
      <c r="A3" s="73" t="s">
        <v>25</v>
      </c>
      <c r="B3" s="8" t="s">
        <v>15</v>
      </c>
      <c r="C3" s="64" t="s">
        <v>5</v>
      </c>
      <c r="D3" s="65"/>
      <c r="E3" s="66"/>
      <c r="F3" s="64" t="s">
        <v>6</v>
      </c>
      <c r="G3" s="65"/>
      <c r="H3" s="66"/>
      <c r="I3" s="64" t="s">
        <v>7</v>
      </c>
      <c r="J3" s="65"/>
      <c r="K3" s="66"/>
      <c r="L3" s="64" t="s">
        <v>8</v>
      </c>
      <c r="M3" s="65"/>
      <c r="N3" s="66"/>
      <c r="O3" s="64" t="s">
        <v>9</v>
      </c>
      <c r="P3" s="65"/>
      <c r="Q3" s="66"/>
      <c r="R3" s="64" t="s">
        <v>10</v>
      </c>
      <c r="S3" s="65"/>
      <c r="T3" s="66"/>
      <c r="U3" s="64" t="s">
        <v>11</v>
      </c>
      <c r="V3" s="65"/>
      <c r="W3" s="66"/>
      <c r="X3" s="64" t="s">
        <v>12</v>
      </c>
      <c r="Y3" s="65"/>
      <c r="Z3" s="66"/>
      <c r="AA3" s="64" t="s">
        <v>13</v>
      </c>
      <c r="AB3" s="65"/>
      <c r="AC3" s="66"/>
      <c r="AD3" s="64" t="s">
        <v>14</v>
      </c>
      <c r="AE3" s="65"/>
      <c r="AF3" s="66"/>
    </row>
    <row r="4" spans="1:32" x14ac:dyDescent="0.35">
      <c r="A4" s="74"/>
      <c r="B4" s="9">
        <v>0</v>
      </c>
      <c r="C4" s="13">
        <v>1.2485467790016163</v>
      </c>
      <c r="D4" s="14">
        <v>1.8649239941985012</v>
      </c>
      <c r="E4" s="15">
        <v>0.42947119907133668</v>
      </c>
      <c r="F4" s="13">
        <v>4.8359114118335347</v>
      </c>
      <c r="G4" s="14">
        <v>0.46722815213800173</v>
      </c>
      <c r="H4" s="15">
        <v>0.44258089310427762</v>
      </c>
      <c r="I4" s="13">
        <v>0.87359194472737356</v>
      </c>
      <c r="J4" s="14">
        <v>0.93557461598499647</v>
      </c>
      <c r="K4" s="15">
        <v>1.2235252861172785</v>
      </c>
      <c r="L4" s="13">
        <v>0.59252832077803441</v>
      </c>
      <c r="M4" s="14">
        <v>1.5484338847561385</v>
      </c>
      <c r="N4" s="15">
        <v>1.0899290311984595</v>
      </c>
      <c r="O4" s="13">
        <v>0.57685045570013505</v>
      </c>
      <c r="P4" s="14">
        <v>1.2509588095343325</v>
      </c>
      <c r="Q4" s="15">
        <v>1.3857782798432237</v>
      </c>
      <c r="R4" s="13">
        <v>0.38104421540318278</v>
      </c>
      <c r="S4" s="14">
        <v>1.5609667881797158</v>
      </c>
      <c r="T4" s="15">
        <v>1.6812448385314132</v>
      </c>
      <c r="U4" s="13">
        <v>1.05138638922581</v>
      </c>
      <c r="V4" s="14">
        <v>2.1350239719850532</v>
      </c>
      <c r="W4" s="15">
        <v>0.44548685501246865</v>
      </c>
      <c r="X4" s="13">
        <v>0.20797950648695343</v>
      </c>
      <c r="Y4" s="14">
        <v>2.884606786099928</v>
      </c>
      <c r="Z4" s="15">
        <v>1.6668358622245945</v>
      </c>
      <c r="AA4" s="13">
        <v>2.6561098080546541</v>
      </c>
      <c r="AB4" s="14">
        <v>0.11166710328026214</v>
      </c>
      <c r="AC4" s="15">
        <v>3.3715431639528672</v>
      </c>
      <c r="AD4" s="13">
        <v>5.6340774953141537</v>
      </c>
      <c r="AE4" s="14">
        <v>0.5653518729455802</v>
      </c>
      <c r="AF4" s="15">
        <v>0.31394845374865554</v>
      </c>
    </row>
    <row r="5" spans="1:32" x14ac:dyDescent="0.35">
      <c r="A5" s="74"/>
      <c r="B5" s="9">
        <v>0.1</v>
      </c>
      <c r="C5" s="13">
        <v>1104.4242267821219</v>
      </c>
      <c r="D5" s="14">
        <v>1717.3171745651373</v>
      </c>
      <c r="E5" s="15">
        <v>464.41857251780363</v>
      </c>
      <c r="F5" s="13">
        <v>16.015473972962628</v>
      </c>
      <c r="G5" s="14">
        <v>10.952948516288709</v>
      </c>
      <c r="H5" s="15">
        <v>29.081463204041288</v>
      </c>
      <c r="I5" s="13">
        <v>733.22775474321315</v>
      </c>
      <c r="J5" s="14">
        <v>1064.6781202054115</v>
      </c>
      <c r="K5" s="15">
        <v>1316.73974102989</v>
      </c>
      <c r="L5" s="13">
        <v>163.24725865295977</v>
      </c>
      <c r="M5" s="14">
        <v>1135.5958905312023</v>
      </c>
      <c r="N5" s="15">
        <v>1022.3436092296237</v>
      </c>
      <c r="O5" s="13">
        <v>1067.7407243250134</v>
      </c>
      <c r="P5" s="14">
        <v>1950.4214716615188</v>
      </c>
      <c r="Q5" s="15">
        <v>2285.4111985913923</v>
      </c>
      <c r="R5" s="13">
        <v>173.92917117082888</v>
      </c>
      <c r="S5" s="14">
        <v>500.19071519348586</v>
      </c>
      <c r="T5" s="15">
        <v>383.267199652942</v>
      </c>
      <c r="U5" s="13">
        <v>2.5990127330921524</v>
      </c>
      <c r="V5" s="14">
        <v>2.8741281253627355</v>
      </c>
      <c r="W5" s="15">
        <v>17.23279622854939</v>
      </c>
      <c r="X5" s="13">
        <v>0.31376449645565124</v>
      </c>
      <c r="Y5" s="14">
        <v>1.5731071106923069</v>
      </c>
      <c r="Z5" s="15">
        <v>0.99594748546489109</v>
      </c>
      <c r="AA5" s="13">
        <v>47.650695928429521</v>
      </c>
      <c r="AB5" s="14">
        <v>42.33616740401343</v>
      </c>
      <c r="AC5" s="15">
        <v>65.274347511198229</v>
      </c>
      <c r="AD5" s="13">
        <v>1.1725374215269859</v>
      </c>
      <c r="AE5" s="14">
        <v>1.1986372770849552</v>
      </c>
      <c r="AF5" s="15">
        <v>1.9732690011484622</v>
      </c>
    </row>
    <row r="6" spans="1:32" x14ac:dyDescent="0.35">
      <c r="A6" s="74"/>
      <c r="B6" s="9">
        <v>1</v>
      </c>
      <c r="C6" s="13">
        <v>6706.4101823751162</v>
      </c>
      <c r="D6" s="14">
        <v>33170.400311185367</v>
      </c>
      <c r="E6" s="15">
        <v>3448.7870480534257</v>
      </c>
      <c r="F6" s="13">
        <v>213.25718118608421</v>
      </c>
      <c r="G6" s="14">
        <v>128.4318567569085</v>
      </c>
      <c r="H6" s="15">
        <v>359.24591801013634</v>
      </c>
      <c r="I6" s="13">
        <v>7186.0409066861985</v>
      </c>
      <c r="J6" s="14">
        <v>3781.681212836274</v>
      </c>
      <c r="K6" s="15">
        <v>3211.7732896639568</v>
      </c>
      <c r="L6" s="13">
        <v>1994.9966394269916</v>
      </c>
      <c r="M6" s="14">
        <v>7385.0177126230228</v>
      </c>
      <c r="N6" s="15">
        <v>7293.0080884970812</v>
      </c>
      <c r="O6" s="13">
        <v>7726.7018598271779</v>
      </c>
      <c r="P6" s="14">
        <v>7106.8303220729176</v>
      </c>
      <c r="Q6" s="15">
        <v>12415.399354847557</v>
      </c>
      <c r="R6" s="13">
        <v>812.20867969146786</v>
      </c>
      <c r="S6" s="14">
        <v>2188.2054258549083</v>
      </c>
      <c r="T6" s="15">
        <v>2286.7461477509378</v>
      </c>
      <c r="U6" s="13">
        <v>69607.849410942217</v>
      </c>
      <c r="V6" s="14">
        <v>48.045205324255733</v>
      </c>
      <c r="W6" s="15">
        <v>197.14083025546265</v>
      </c>
      <c r="X6" s="13">
        <v>0.23195935415142524</v>
      </c>
      <c r="Y6" s="14">
        <v>49.43344881185002</v>
      </c>
      <c r="Z6" s="15">
        <v>42.889003654464183</v>
      </c>
      <c r="AA6" s="13">
        <v>356.75149375421006</v>
      </c>
      <c r="AB6" s="14">
        <v>138.62542667301491</v>
      </c>
      <c r="AC6" s="15">
        <v>326.37646682113353</v>
      </c>
      <c r="AD6" s="13">
        <v>47.872173528673862</v>
      </c>
      <c r="AE6" s="14">
        <v>19.149955663722253</v>
      </c>
      <c r="AF6" s="15">
        <v>74.415284663053981</v>
      </c>
    </row>
    <row r="7" spans="1:32" x14ac:dyDescent="0.35">
      <c r="A7" s="74"/>
      <c r="B7" s="9">
        <v>10</v>
      </c>
      <c r="C7" s="13">
        <v>8687.0713539654444</v>
      </c>
      <c r="D7" s="14">
        <v>12125.644432325491</v>
      </c>
      <c r="E7" s="15">
        <v>22196.841777335256</v>
      </c>
      <c r="F7" s="13">
        <v>3058.3974633719386</v>
      </c>
      <c r="G7" s="14">
        <v>2341.3843591790487</v>
      </c>
      <c r="H7" s="15">
        <v>5892.1194125706097</v>
      </c>
      <c r="I7" s="13">
        <v>32358.432917025893</v>
      </c>
      <c r="J7" s="14">
        <v>11943.367970974192</v>
      </c>
      <c r="K7" s="15">
        <v>13035.411731886235</v>
      </c>
      <c r="L7" s="13">
        <v>11746.274038815965</v>
      </c>
      <c r="M7" s="14">
        <v>22539.321099954745</v>
      </c>
      <c r="N7" s="15">
        <v>18511.009603719151</v>
      </c>
      <c r="O7" s="13">
        <v>26998.783873523418</v>
      </c>
      <c r="P7" s="14">
        <v>26379.576607670737</v>
      </c>
      <c r="Q7" s="15">
        <v>23690.680966881326</v>
      </c>
      <c r="R7" s="13">
        <v>1275.7189412562948</v>
      </c>
      <c r="S7" s="14">
        <v>3898.6325421830343</v>
      </c>
      <c r="T7" s="15">
        <v>5896.1773067907252</v>
      </c>
      <c r="U7" s="13">
        <v>1088.4605562341385</v>
      </c>
      <c r="V7" s="14">
        <v>1350.6369675277404</v>
      </c>
      <c r="W7" s="15">
        <v>5009.4431240327867</v>
      </c>
      <c r="X7" s="13">
        <v>1542.8050574207898</v>
      </c>
      <c r="Y7" s="14">
        <v>5487.5756245326456</v>
      </c>
      <c r="Z7" s="15">
        <v>7347.6304606198046</v>
      </c>
      <c r="AA7" s="13">
        <v>1794.9006180030153</v>
      </c>
      <c r="AB7" s="14">
        <v>1086.8098089336627</v>
      </c>
      <c r="AC7" s="15">
        <v>1471.0812607402388</v>
      </c>
      <c r="AD7" s="13">
        <v>305.09452387677135</v>
      </c>
      <c r="AE7" s="14">
        <v>186.63569784266394</v>
      </c>
      <c r="AF7" s="15">
        <v>1015.2417849153292</v>
      </c>
    </row>
    <row r="8" spans="1:32" ht="15" thickBot="1" x14ac:dyDescent="0.4">
      <c r="A8" s="75"/>
      <c r="B8" s="10">
        <v>100</v>
      </c>
      <c r="C8" s="16">
        <v>11782.103215226625</v>
      </c>
      <c r="D8" s="17">
        <v>12087.269875927617</v>
      </c>
      <c r="E8" s="18">
        <v>9579.3379297108913</v>
      </c>
      <c r="F8" s="16">
        <v>6791.4950667586354</v>
      </c>
      <c r="G8" s="17">
        <v>5539.6043334879387</v>
      </c>
      <c r="H8" s="18">
        <v>9299.5226841725671</v>
      </c>
      <c r="I8" s="16">
        <v>38798.366504433194</v>
      </c>
      <c r="J8" s="17">
        <v>18295.331708982187</v>
      </c>
      <c r="K8" s="18">
        <v>25681.773428404726</v>
      </c>
      <c r="L8" s="16">
        <v>13001.96375803021</v>
      </c>
      <c r="M8" s="17">
        <v>42921.159672064496</v>
      </c>
      <c r="N8" s="18">
        <v>28748.407484612177</v>
      </c>
      <c r="O8" s="16">
        <v>35652.380240085586</v>
      </c>
      <c r="P8" s="17">
        <v>24573.796554284207</v>
      </c>
      <c r="Q8" s="18">
        <v>21373.13693871169</v>
      </c>
      <c r="R8" s="16">
        <v>2751.2015145559772</v>
      </c>
      <c r="S8" s="17">
        <v>5871.1014369027052</v>
      </c>
      <c r="T8" s="18">
        <v>10103.566453626316</v>
      </c>
      <c r="U8" s="16">
        <v>3497.8569636650168</v>
      </c>
      <c r="V8" s="17">
        <v>6118.9073074351645</v>
      </c>
      <c r="W8" s="18">
        <v>18198.77585201828</v>
      </c>
      <c r="X8" s="16">
        <v>4521.0188352869463</v>
      </c>
      <c r="Y8" s="17">
        <v>12176.981186797371</v>
      </c>
      <c r="Z8" s="18">
        <v>17578.209563653825</v>
      </c>
      <c r="AA8" s="16">
        <v>3340.780527416448</v>
      </c>
      <c r="AB8" s="17">
        <v>1291.4103127588039</v>
      </c>
      <c r="AC8" s="18">
        <v>2574.9687816972064</v>
      </c>
      <c r="AD8" s="16">
        <v>753.94622662335121</v>
      </c>
      <c r="AE8" s="17">
        <v>437.35990191923543</v>
      </c>
      <c r="AF8" s="18">
        <v>2352.7511272322158</v>
      </c>
    </row>
    <row r="9" spans="1:32" ht="15" thickBot="1" x14ac:dyDescent="0.4">
      <c r="A9" s="2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row>
    <row r="10" spans="1:32" ht="15" thickBot="1" x14ac:dyDescent="0.4">
      <c r="C10" s="49" t="s">
        <v>19</v>
      </c>
      <c r="D10" s="50"/>
      <c r="E10" s="50"/>
      <c r="F10" s="50"/>
      <c r="G10" s="50"/>
      <c r="H10" s="50"/>
      <c r="I10" s="50"/>
      <c r="J10" s="50"/>
      <c r="K10" s="50"/>
      <c r="L10" s="50"/>
      <c r="M10" s="50"/>
      <c r="N10" s="50"/>
      <c r="O10" s="50"/>
      <c r="P10" s="50"/>
      <c r="Q10" s="51"/>
      <c r="R10" s="52" t="s">
        <v>17</v>
      </c>
      <c r="S10" s="53"/>
      <c r="T10" s="53"/>
      <c r="U10" s="53"/>
      <c r="V10" s="53"/>
      <c r="W10" s="53"/>
      <c r="X10" s="53"/>
      <c r="Y10" s="53"/>
      <c r="Z10" s="53"/>
      <c r="AA10" s="53"/>
      <c r="AB10" s="53"/>
      <c r="AC10" s="53"/>
      <c r="AD10" s="53"/>
      <c r="AE10" s="53"/>
      <c r="AF10" s="54"/>
    </row>
    <row r="11" spans="1:32" x14ac:dyDescent="0.35">
      <c r="A11" s="73" t="s">
        <v>0</v>
      </c>
      <c r="B11" s="8" t="s">
        <v>15</v>
      </c>
      <c r="C11" s="64" t="s">
        <v>5</v>
      </c>
      <c r="D11" s="65"/>
      <c r="E11" s="66"/>
      <c r="F11" s="64" t="s">
        <v>6</v>
      </c>
      <c r="G11" s="65"/>
      <c r="H11" s="66"/>
      <c r="I11" s="64" t="s">
        <v>7</v>
      </c>
      <c r="J11" s="65"/>
      <c r="K11" s="66"/>
      <c r="L11" s="64" t="s">
        <v>8</v>
      </c>
      <c r="M11" s="65"/>
      <c r="N11" s="66"/>
      <c r="O11" s="64" t="s">
        <v>9</v>
      </c>
      <c r="P11" s="65"/>
      <c r="Q11" s="66"/>
      <c r="R11" s="64" t="s">
        <v>10</v>
      </c>
      <c r="S11" s="65"/>
      <c r="T11" s="66"/>
      <c r="U11" s="64" t="s">
        <v>11</v>
      </c>
      <c r="V11" s="65"/>
      <c r="W11" s="66"/>
      <c r="X11" s="64" t="s">
        <v>12</v>
      </c>
      <c r="Y11" s="65"/>
      <c r="Z11" s="66"/>
      <c r="AA11" s="64" t="s">
        <v>13</v>
      </c>
      <c r="AB11" s="65"/>
      <c r="AC11" s="66"/>
      <c r="AD11" s="64" t="s">
        <v>14</v>
      </c>
      <c r="AE11" s="65"/>
      <c r="AF11" s="66"/>
    </row>
    <row r="12" spans="1:32" x14ac:dyDescent="0.35">
      <c r="A12" s="74"/>
      <c r="B12" s="9">
        <v>0</v>
      </c>
      <c r="C12" s="6">
        <v>0.48</v>
      </c>
      <c r="D12" s="2">
        <v>0.97</v>
      </c>
      <c r="E12" s="3">
        <v>2.14</v>
      </c>
      <c r="F12" s="6">
        <v>0.67</v>
      </c>
      <c r="G12" s="2">
        <v>0.95</v>
      </c>
      <c r="H12" s="3">
        <v>1.58</v>
      </c>
      <c r="I12" s="6">
        <v>1.31</v>
      </c>
      <c r="J12" s="2">
        <v>1.08</v>
      </c>
      <c r="K12" s="3">
        <v>0.71</v>
      </c>
      <c r="L12" s="6">
        <v>1.53</v>
      </c>
      <c r="M12" s="2">
        <v>0.99</v>
      </c>
      <c r="N12" s="3">
        <v>0.66</v>
      </c>
      <c r="O12" s="6">
        <v>0.82</v>
      </c>
      <c r="P12" s="2">
        <v>1.41</v>
      </c>
      <c r="Q12" s="3">
        <v>0.86</v>
      </c>
      <c r="R12" s="6">
        <v>1.73</v>
      </c>
      <c r="S12" s="2">
        <v>0.42</v>
      </c>
      <c r="T12" s="3">
        <v>1.38</v>
      </c>
      <c r="U12" s="6">
        <v>0.96</v>
      </c>
      <c r="V12" s="2">
        <v>1.46</v>
      </c>
      <c r="W12" s="3">
        <v>0.71</v>
      </c>
      <c r="X12" s="6">
        <v>1.44</v>
      </c>
      <c r="Y12" s="2">
        <v>0.61</v>
      </c>
      <c r="Z12" s="3">
        <v>1.1399999999999999</v>
      </c>
      <c r="AA12" s="6">
        <v>0.78</v>
      </c>
      <c r="AB12" s="2">
        <v>1.0900000000000001</v>
      </c>
      <c r="AC12" s="3">
        <v>1.17</v>
      </c>
      <c r="AD12" s="6">
        <v>0.78</v>
      </c>
      <c r="AE12" s="2">
        <v>0.81</v>
      </c>
      <c r="AF12" s="3">
        <v>1.59</v>
      </c>
    </row>
    <row r="13" spans="1:32" x14ac:dyDescent="0.35">
      <c r="A13" s="74"/>
      <c r="B13" s="9">
        <v>0.1</v>
      </c>
      <c r="C13" s="6">
        <v>362.52</v>
      </c>
      <c r="D13" s="2">
        <v>863.85</v>
      </c>
      <c r="E13" s="3">
        <v>966.54</v>
      </c>
      <c r="F13" s="6">
        <v>33.79</v>
      </c>
      <c r="G13" s="2">
        <v>269.42</v>
      </c>
      <c r="H13" s="3">
        <v>254.64</v>
      </c>
      <c r="I13" s="6">
        <v>982.14</v>
      </c>
      <c r="J13" s="2">
        <v>727.53</v>
      </c>
      <c r="K13" s="3">
        <v>1257.76</v>
      </c>
      <c r="L13" s="6">
        <v>3759.43</v>
      </c>
      <c r="M13" s="2">
        <v>4446.72</v>
      </c>
      <c r="N13" s="3">
        <v>1677.75</v>
      </c>
      <c r="O13" s="6">
        <v>2279.19</v>
      </c>
      <c r="P13" s="2">
        <v>6206.21</v>
      </c>
      <c r="Q13" s="3">
        <v>5429.72</v>
      </c>
      <c r="R13" s="6">
        <v>111.2</v>
      </c>
      <c r="S13" s="2">
        <v>93.43</v>
      </c>
      <c r="T13" s="3">
        <v>216.33</v>
      </c>
      <c r="U13" s="6">
        <v>10.72</v>
      </c>
      <c r="V13" s="2">
        <v>27.68</v>
      </c>
      <c r="W13" s="3">
        <v>139.66999999999999</v>
      </c>
      <c r="X13" s="6">
        <v>0.87</v>
      </c>
      <c r="Y13" s="2">
        <v>0.27</v>
      </c>
      <c r="Z13" s="3">
        <v>20.329999999999998</v>
      </c>
      <c r="AA13" s="6">
        <v>786.16</v>
      </c>
      <c r="AB13" s="2">
        <v>675.66</v>
      </c>
      <c r="AC13" s="3">
        <v>447.41</v>
      </c>
      <c r="AD13" s="6">
        <v>9.4700000000000006</v>
      </c>
      <c r="AE13" s="2">
        <v>46.99</v>
      </c>
      <c r="AF13" s="3">
        <v>47.4</v>
      </c>
    </row>
    <row r="14" spans="1:32" x14ac:dyDescent="0.35">
      <c r="A14" s="74"/>
      <c r="B14" s="9">
        <v>1</v>
      </c>
      <c r="C14" s="6">
        <v>1739.23</v>
      </c>
      <c r="D14" s="2">
        <v>1744.66</v>
      </c>
      <c r="E14" s="3">
        <v>13020.57</v>
      </c>
      <c r="F14" s="6">
        <v>343.43</v>
      </c>
      <c r="G14" s="2">
        <v>4830.67</v>
      </c>
      <c r="H14" s="3">
        <v>4692.5</v>
      </c>
      <c r="I14" s="6">
        <v>3753.83</v>
      </c>
      <c r="J14" s="2">
        <v>2558.85</v>
      </c>
      <c r="K14" s="3">
        <v>2093.4299999999998</v>
      </c>
      <c r="L14" s="6">
        <v>28530.23</v>
      </c>
      <c r="M14" s="2">
        <v>27083.67</v>
      </c>
      <c r="N14" s="3">
        <v>12586.26</v>
      </c>
      <c r="O14" s="6">
        <v>12585.91</v>
      </c>
      <c r="P14" s="2">
        <v>14156.97</v>
      </c>
      <c r="Q14" s="3">
        <v>25568.11</v>
      </c>
      <c r="R14" s="6">
        <v>348.15</v>
      </c>
      <c r="S14" s="2">
        <v>639.28</v>
      </c>
      <c r="T14" s="3">
        <v>1478.43</v>
      </c>
      <c r="U14" s="6">
        <v>235.63</v>
      </c>
      <c r="V14" s="2">
        <v>301.61</v>
      </c>
      <c r="W14" s="3">
        <v>2052.4899999999998</v>
      </c>
      <c r="X14" s="6">
        <v>24.23</v>
      </c>
      <c r="Y14" s="2">
        <v>84.06</v>
      </c>
      <c r="Z14" s="3">
        <v>0.79</v>
      </c>
      <c r="AA14" s="6">
        <v>3664.02</v>
      </c>
      <c r="AB14" s="2">
        <v>3499.44</v>
      </c>
      <c r="AC14" s="3">
        <v>2324.89</v>
      </c>
      <c r="AD14" s="6">
        <v>332.48</v>
      </c>
      <c r="AE14" s="2">
        <v>1017.19</v>
      </c>
      <c r="AF14" s="3">
        <v>910.91</v>
      </c>
    </row>
    <row r="15" spans="1:32" x14ac:dyDescent="0.35">
      <c r="A15" s="74"/>
      <c r="B15" s="9">
        <v>10</v>
      </c>
      <c r="C15" s="6">
        <v>2545.6999999999998</v>
      </c>
      <c r="D15" s="2">
        <v>3999.76</v>
      </c>
      <c r="E15" s="3">
        <v>45996.11</v>
      </c>
      <c r="F15" s="6">
        <v>5541.19</v>
      </c>
      <c r="G15" s="2">
        <v>59882.26</v>
      </c>
      <c r="H15" s="3">
        <v>55714.36</v>
      </c>
      <c r="I15" s="6">
        <v>7257.99</v>
      </c>
      <c r="J15" s="2">
        <v>3121.83</v>
      </c>
      <c r="K15" s="3">
        <v>4213.38</v>
      </c>
      <c r="L15" s="6">
        <v>60956.57</v>
      </c>
      <c r="M15" s="2">
        <v>35570.22</v>
      </c>
      <c r="N15" s="3">
        <v>12423.38</v>
      </c>
      <c r="O15" s="6">
        <v>13571.21</v>
      </c>
      <c r="P15" s="2">
        <v>32589.53</v>
      </c>
      <c r="Q15" s="3">
        <v>36557.339999999997</v>
      </c>
      <c r="R15" s="6">
        <v>1587.17</v>
      </c>
      <c r="S15" s="2">
        <v>1047.6199999999999</v>
      </c>
      <c r="T15" s="3">
        <v>2009.68</v>
      </c>
      <c r="U15" s="6">
        <v>3681.02</v>
      </c>
      <c r="V15" s="2">
        <v>4937.99</v>
      </c>
      <c r="W15" s="3">
        <v>35881.360000000001</v>
      </c>
      <c r="X15" s="6">
        <v>738.71</v>
      </c>
      <c r="Y15" s="2">
        <v>495.3</v>
      </c>
      <c r="Z15" s="3">
        <v>847.98</v>
      </c>
      <c r="AA15" s="6">
        <v>12937.42</v>
      </c>
      <c r="AB15" s="2">
        <v>8579.1299999999992</v>
      </c>
      <c r="AC15" s="3">
        <v>5955.4</v>
      </c>
      <c r="AD15" s="6">
        <v>2301.31</v>
      </c>
      <c r="AE15" s="2">
        <v>4888.6000000000004</v>
      </c>
      <c r="AF15" s="3">
        <v>4811.18</v>
      </c>
    </row>
    <row r="16" spans="1:32" ht="15" thickBot="1" x14ac:dyDescent="0.4">
      <c r="A16" s="75"/>
      <c r="B16" s="10">
        <v>100</v>
      </c>
      <c r="C16" s="7">
        <v>2525.64</v>
      </c>
      <c r="D16" s="4">
        <v>2676.17</v>
      </c>
      <c r="E16" s="5">
        <v>6913.55</v>
      </c>
      <c r="F16" s="7">
        <v>7200.49</v>
      </c>
      <c r="G16" s="4">
        <v>50194.69</v>
      </c>
      <c r="H16" s="5">
        <v>60218.400000000001</v>
      </c>
      <c r="I16" s="7">
        <v>12164.56</v>
      </c>
      <c r="J16" s="4">
        <v>2775.25</v>
      </c>
      <c r="K16" s="5">
        <v>4529.03</v>
      </c>
      <c r="L16" s="7">
        <v>71320.73</v>
      </c>
      <c r="M16" s="4">
        <v>46990.52</v>
      </c>
      <c r="N16" s="5">
        <v>12546.72</v>
      </c>
      <c r="O16" s="7">
        <v>12897.89</v>
      </c>
      <c r="P16" s="4">
        <v>28045.759999999998</v>
      </c>
      <c r="Q16" s="5">
        <v>15247.94</v>
      </c>
      <c r="R16" s="7">
        <v>2403.2199999999998</v>
      </c>
      <c r="S16" s="4">
        <v>1234.3599999999999</v>
      </c>
      <c r="T16" s="5">
        <v>2484.79</v>
      </c>
      <c r="U16" s="7">
        <v>11621.34</v>
      </c>
      <c r="V16" s="4">
        <v>13357.97</v>
      </c>
      <c r="W16" s="5">
        <v>56563.11</v>
      </c>
      <c r="X16" s="7">
        <v>1793.07</v>
      </c>
      <c r="Y16" s="4">
        <v>20447.57</v>
      </c>
      <c r="Z16" s="5">
        <v>4152.95</v>
      </c>
      <c r="AA16" s="7">
        <v>18669.75</v>
      </c>
      <c r="AB16" s="4">
        <v>7645.32</v>
      </c>
      <c r="AC16" s="5">
        <v>5263.99</v>
      </c>
      <c r="AD16" s="7">
        <v>1854.59</v>
      </c>
      <c r="AE16" s="4">
        <v>8272.75</v>
      </c>
      <c r="AF16" s="5">
        <v>8496.59</v>
      </c>
    </row>
    <row r="17" spans="1:32" ht="15" thickBot="1" x14ac:dyDescent="0.4">
      <c r="A17" s="2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row>
    <row r="18" spans="1:32" ht="15" thickBot="1" x14ac:dyDescent="0.4">
      <c r="C18" s="49" t="s">
        <v>19</v>
      </c>
      <c r="D18" s="50"/>
      <c r="E18" s="50"/>
      <c r="F18" s="50"/>
      <c r="G18" s="50"/>
      <c r="H18" s="50"/>
      <c r="I18" s="50"/>
      <c r="J18" s="50"/>
      <c r="K18" s="50"/>
      <c r="L18" s="50"/>
      <c r="M18" s="50"/>
      <c r="N18" s="50"/>
      <c r="O18" s="50"/>
      <c r="P18" s="50"/>
      <c r="Q18" s="51"/>
      <c r="R18" s="52" t="s">
        <v>17</v>
      </c>
      <c r="S18" s="53"/>
      <c r="T18" s="53"/>
      <c r="U18" s="53"/>
      <c r="V18" s="53"/>
      <c r="W18" s="53"/>
      <c r="X18" s="53"/>
      <c r="Y18" s="53"/>
      <c r="Z18" s="53"/>
      <c r="AA18" s="53"/>
      <c r="AB18" s="53"/>
      <c r="AC18" s="53"/>
      <c r="AD18" s="53"/>
      <c r="AE18" s="53"/>
      <c r="AF18" s="54"/>
    </row>
    <row r="19" spans="1:32" x14ac:dyDescent="0.35">
      <c r="A19" s="73" t="s">
        <v>26</v>
      </c>
      <c r="B19" s="8" t="s">
        <v>15</v>
      </c>
      <c r="C19" s="64" t="s">
        <v>5</v>
      </c>
      <c r="D19" s="65"/>
      <c r="E19" s="66"/>
      <c r="F19" s="64" t="s">
        <v>6</v>
      </c>
      <c r="G19" s="65"/>
      <c r="H19" s="66"/>
      <c r="I19" s="64" t="s">
        <v>7</v>
      </c>
      <c r="J19" s="65"/>
      <c r="K19" s="66"/>
      <c r="L19" s="64" t="s">
        <v>8</v>
      </c>
      <c r="M19" s="65"/>
      <c r="N19" s="66"/>
      <c r="O19" s="64" t="s">
        <v>9</v>
      </c>
      <c r="P19" s="65"/>
      <c r="Q19" s="66"/>
      <c r="R19" s="64" t="s">
        <v>10</v>
      </c>
      <c r="S19" s="65"/>
      <c r="T19" s="66"/>
      <c r="U19" s="64" t="s">
        <v>11</v>
      </c>
      <c r="V19" s="65"/>
      <c r="W19" s="66"/>
      <c r="X19" s="64" t="s">
        <v>12</v>
      </c>
      <c r="Y19" s="65"/>
      <c r="Z19" s="66"/>
      <c r="AA19" s="64" t="s">
        <v>13</v>
      </c>
      <c r="AB19" s="65"/>
      <c r="AC19" s="66"/>
      <c r="AD19" s="64" t="s">
        <v>14</v>
      </c>
      <c r="AE19" s="65"/>
      <c r="AF19" s="66"/>
    </row>
    <row r="20" spans="1:32" x14ac:dyDescent="0.35">
      <c r="A20" s="74"/>
      <c r="B20" s="9">
        <v>0</v>
      </c>
      <c r="C20" s="13">
        <v>1.0671622688877174</v>
      </c>
      <c r="D20" s="14">
        <v>2.441310556330833</v>
      </c>
      <c r="E20" s="15">
        <v>0.38383671097162886</v>
      </c>
      <c r="F20" s="13">
        <v>3.8132557126684152</v>
      </c>
      <c r="G20" s="14">
        <v>0.36842288216860164</v>
      </c>
      <c r="H20" s="15">
        <v>0.7117991658679732</v>
      </c>
      <c r="I20" s="13">
        <v>0.63411581351827129</v>
      </c>
      <c r="J20" s="14">
        <v>1.5734773520603011</v>
      </c>
      <c r="K20" s="15">
        <v>1.0022381268713836</v>
      </c>
      <c r="L20" s="13">
        <v>0.86995623332344507</v>
      </c>
      <c r="M20" s="14">
        <v>0.84358924352217535</v>
      </c>
      <c r="N20" s="15">
        <v>1.3626099700580769</v>
      </c>
      <c r="O20" s="13">
        <v>0.57561681060448455</v>
      </c>
      <c r="P20" s="14">
        <v>1.4895495848246583</v>
      </c>
      <c r="Q20" s="15">
        <v>1.16630346639789</v>
      </c>
      <c r="R20" s="13">
        <v>0.63386533679183488</v>
      </c>
      <c r="S20" s="14">
        <v>1.2805031055540279</v>
      </c>
      <c r="T20" s="15">
        <v>1.2320330582184449</v>
      </c>
      <c r="U20" s="13">
        <v>0.67590988891539427</v>
      </c>
      <c r="V20" s="14">
        <v>1.3725532597000214</v>
      </c>
      <c r="W20" s="15">
        <v>1.0779087417071711</v>
      </c>
      <c r="X20" s="13">
        <v>0.58929482437961733</v>
      </c>
      <c r="Y20" s="14">
        <v>1.7174915504208272</v>
      </c>
      <c r="Z20" s="15">
        <v>0.98803598921113089</v>
      </c>
      <c r="AA20" s="13">
        <v>1.8148763119420503</v>
      </c>
      <c r="AB20" s="14">
        <v>0.20198702024636114</v>
      </c>
      <c r="AC20" s="15">
        <v>2.7279066553460054</v>
      </c>
      <c r="AD20" s="13">
        <v>4.9531896979022561</v>
      </c>
      <c r="AE20" s="14">
        <v>0.49702814260059264</v>
      </c>
      <c r="AF20" s="15">
        <v>0.40619451914148391</v>
      </c>
    </row>
    <row r="21" spans="1:32" x14ac:dyDescent="0.35">
      <c r="A21" s="74"/>
      <c r="B21" s="9">
        <v>0.1</v>
      </c>
      <c r="C21" s="13">
        <v>230.07487961137517</v>
      </c>
      <c r="D21" s="14">
        <v>510.47679942354455</v>
      </c>
      <c r="E21" s="15">
        <v>90.484183911212099</v>
      </c>
      <c r="F21" s="13">
        <v>19.116771011295832</v>
      </c>
      <c r="G21" s="14">
        <v>14.246140179266964</v>
      </c>
      <c r="H21" s="15">
        <v>27.278575767545284</v>
      </c>
      <c r="I21" s="13">
        <v>103.79524548971608</v>
      </c>
      <c r="J21" s="14">
        <v>361.15426687066758</v>
      </c>
      <c r="K21" s="15">
        <v>355.06493632393244</v>
      </c>
      <c r="L21" s="13">
        <v>356.00259064286291</v>
      </c>
      <c r="M21" s="14">
        <v>1421.3592437653683</v>
      </c>
      <c r="N21" s="15">
        <v>2501.028736011343</v>
      </c>
      <c r="O21" s="13">
        <v>290.39440049370666</v>
      </c>
      <c r="P21" s="14">
        <v>1821.5104842597843</v>
      </c>
      <c r="Q21" s="15">
        <v>1611.3572765189217</v>
      </c>
      <c r="R21" s="13">
        <v>187.47229702142755</v>
      </c>
      <c r="S21" s="14">
        <v>1440.6374481747084</v>
      </c>
      <c r="T21" s="15">
        <v>1132.7284523411984</v>
      </c>
      <c r="U21" s="13">
        <v>4.2731935433158466</v>
      </c>
      <c r="V21" s="14">
        <v>6.8301037269565592</v>
      </c>
      <c r="W21" s="15">
        <v>20.383590664796607</v>
      </c>
      <c r="X21" s="13">
        <v>0.49028420102658565</v>
      </c>
      <c r="Y21" s="14">
        <v>1.4462253463045946</v>
      </c>
      <c r="Z21" s="15">
        <v>1.1873140993794098</v>
      </c>
      <c r="AA21" s="13">
        <v>42.095078180137023</v>
      </c>
      <c r="AB21" s="14">
        <v>56.677210869541604</v>
      </c>
      <c r="AC21" s="15">
        <v>75.518590843284301</v>
      </c>
      <c r="AD21" s="13">
        <v>0.81486577827608975</v>
      </c>
      <c r="AE21" s="14">
        <v>1.0537799342157901</v>
      </c>
      <c r="AF21" s="15">
        <v>1.2625133337772156</v>
      </c>
    </row>
    <row r="22" spans="1:32" x14ac:dyDescent="0.35">
      <c r="A22" s="74"/>
      <c r="B22" s="9">
        <v>1</v>
      </c>
      <c r="C22" s="13">
        <v>1184.2858863132392</v>
      </c>
      <c r="D22" s="14">
        <v>13366.874836270692</v>
      </c>
      <c r="E22" s="15">
        <v>854.17568184695244</v>
      </c>
      <c r="F22" s="13">
        <v>495.34216896257158</v>
      </c>
      <c r="G22" s="14">
        <v>378.78009281851786</v>
      </c>
      <c r="H22" s="15">
        <v>722.75126429338457</v>
      </c>
      <c r="I22" s="13">
        <v>833.63820579532512</v>
      </c>
      <c r="J22" s="14">
        <v>1198.1256121603437</v>
      </c>
      <c r="K22" s="15">
        <v>855.79434669122304</v>
      </c>
      <c r="L22" s="13">
        <v>4314.5025367260796</v>
      </c>
      <c r="M22" s="14">
        <v>7622.5084821454266</v>
      </c>
      <c r="N22" s="15">
        <v>16696.637834978814</v>
      </c>
      <c r="O22" s="13">
        <v>1701.7615656184873</v>
      </c>
      <c r="P22" s="14">
        <v>6784.0422204073975</v>
      </c>
      <c r="Q22" s="15">
        <v>8538.4334933090922</v>
      </c>
      <c r="R22" s="13">
        <v>1126.4234090250927</v>
      </c>
      <c r="S22" s="14">
        <v>6403.1167333272124</v>
      </c>
      <c r="T22" s="15">
        <v>6885.5473829591319</v>
      </c>
      <c r="U22" s="13">
        <v>86.482958605635687</v>
      </c>
      <c r="V22" s="14">
        <v>78.944270956554121</v>
      </c>
      <c r="W22" s="15">
        <v>312.49057428985833</v>
      </c>
      <c r="X22" s="13">
        <v>0.27221616931952736</v>
      </c>
      <c r="Y22" s="14">
        <v>25.370785517149393</v>
      </c>
      <c r="Z22" s="15">
        <v>31.73533212120547</v>
      </c>
      <c r="AA22" s="13">
        <v>294.54071771952908</v>
      </c>
      <c r="AB22" s="14">
        <v>165.27461298630485</v>
      </c>
      <c r="AC22" s="15">
        <v>373.16838091085629</v>
      </c>
      <c r="AD22" s="13">
        <v>35.566201213109956</v>
      </c>
      <c r="AE22" s="14">
        <v>14.014463523806082</v>
      </c>
      <c r="AF22" s="15">
        <v>37.413707221499557</v>
      </c>
    </row>
    <row r="23" spans="1:32" x14ac:dyDescent="0.35">
      <c r="A23" s="74"/>
      <c r="B23" s="9">
        <v>10</v>
      </c>
      <c r="C23" s="13">
        <v>1550.3704412578484</v>
      </c>
      <c r="D23" s="14">
        <v>2900.0570854596722</v>
      </c>
      <c r="E23" s="15">
        <v>5411.2664452835197</v>
      </c>
      <c r="F23" s="13">
        <v>9407.5711328731704</v>
      </c>
      <c r="G23" s="14">
        <v>7893.2157226761419</v>
      </c>
      <c r="H23" s="15">
        <v>12440.616991555522</v>
      </c>
      <c r="I23" s="13">
        <v>3555.6356006247315</v>
      </c>
      <c r="J23" s="14">
        <v>3540.3135099695446</v>
      </c>
      <c r="K23" s="15">
        <v>3365.3043356973321</v>
      </c>
      <c r="L23" s="13">
        <v>20486.439600070957</v>
      </c>
      <c r="M23" s="14">
        <v>20285.904753395604</v>
      </c>
      <c r="N23" s="15">
        <v>37817.285248519984</v>
      </c>
      <c r="O23" s="13">
        <v>8139.0289136969423</v>
      </c>
      <c r="P23" s="14">
        <v>23688.524578472923</v>
      </c>
      <c r="Q23" s="15">
        <v>16836.745717144746</v>
      </c>
      <c r="R23" s="13">
        <v>2210.2155579592418</v>
      </c>
      <c r="S23" s="14">
        <v>11988.309345628259</v>
      </c>
      <c r="T23" s="15">
        <v>16816.950427939963</v>
      </c>
      <c r="U23" s="13">
        <v>2925.2126236034001</v>
      </c>
      <c r="V23" s="14">
        <v>4435.5708881170576</v>
      </c>
      <c r="W23" s="15">
        <v>16011.103392521245</v>
      </c>
      <c r="X23" s="13">
        <v>159.85167145724185</v>
      </c>
      <c r="Y23" s="14">
        <v>2485.3247711289987</v>
      </c>
      <c r="Z23" s="15">
        <v>5216.7242163113797</v>
      </c>
      <c r="AA23" s="13">
        <v>1131.0786060732401</v>
      </c>
      <c r="AB23" s="14">
        <v>1047.7774904738674</v>
      </c>
      <c r="AC23" s="15">
        <v>1393.2678674762728</v>
      </c>
      <c r="AD23" s="13">
        <v>327.71418579104983</v>
      </c>
      <c r="AE23" s="14">
        <v>241.22198889380294</v>
      </c>
      <c r="AF23" s="15">
        <v>838.08813767942968</v>
      </c>
    </row>
    <row r="24" spans="1:32" ht="15" thickBot="1" x14ac:dyDescent="0.4">
      <c r="A24" s="75"/>
      <c r="B24" s="10">
        <v>100</v>
      </c>
      <c r="C24" s="16">
        <v>1857.4589948251521</v>
      </c>
      <c r="D24" s="17">
        <v>2765.9274186668708</v>
      </c>
      <c r="E24" s="18">
        <v>1494.2334594601623</v>
      </c>
      <c r="F24" s="16">
        <v>17675.102352081878</v>
      </c>
      <c r="G24" s="17">
        <v>17104.933657670823</v>
      </c>
      <c r="H24" s="18">
        <v>19076.467417073898</v>
      </c>
      <c r="I24" s="16">
        <v>4736.2950049315086</v>
      </c>
      <c r="J24" s="17">
        <v>4904.2121674120754</v>
      </c>
      <c r="K24" s="18">
        <v>5487.9420131203105</v>
      </c>
      <c r="L24" s="16">
        <v>26398.113758052448</v>
      </c>
      <c r="M24" s="17">
        <v>47484.916009224646</v>
      </c>
      <c r="N24" s="18">
        <v>60886.298205334817</v>
      </c>
      <c r="O24" s="16">
        <v>8941.0506212440487</v>
      </c>
      <c r="P24" s="17">
        <v>24341.092052239452</v>
      </c>
      <c r="Q24" s="18">
        <v>15510.479793571336</v>
      </c>
      <c r="R24" s="16">
        <v>3276.1619494427237</v>
      </c>
      <c r="S24" s="17">
        <v>17117.395639001188</v>
      </c>
      <c r="T24" s="18">
        <v>27859.815217852993</v>
      </c>
      <c r="U24" s="16">
        <v>9229.1951375150911</v>
      </c>
      <c r="V24" s="17">
        <v>17070.696486494337</v>
      </c>
      <c r="W24" s="18">
        <v>51667.577186909075</v>
      </c>
      <c r="X24" s="16">
        <v>422.39454569371566</v>
      </c>
      <c r="Y24" s="17">
        <v>10200.834606806788</v>
      </c>
      <c r="Z24" s="18">
        <v>10032.235763664385</v>
      </c>
      <c r="AA24" s="16">
        <v>2068.4303902385418</v>
      </c>
      <c r="AB24" s="17">
        <v>1172.0472365047758</v>
      </c>
      <c r="AC24" s="18">
        <v>2157.3206944155727</v>
      </c>
      <c r="AD24" s="16">
        <v>976.29284365060607</v>
      </c>
      <c r="AE24" s="17">
        <v>608.08180584561501</v>
      </c>
      <c r="AF24" s="18">
        <v>2238.5990797141781</v>
      </c>
    </row>
  </sheetData>
  <mergeCells count="39">
    <mergeCell ref="AA19:AC19"/>
    <mergeCell ref="AD19:AF19"/>
    <mergeCell ref="C2:Q2"/>
    <mergeCell ref="R2:AF2"/>
    <mergeCell ref="C10:Q10"/>
    <mergeCell ref="R10:AF10"/>
    <mergeCell ref="C18:Q18"/>
    <mergeCell ref="AA11:AC11"/>
    <mergeCell ref="AD11:AF11"/>
    <mergeCell ref="R3:T3"/>
    <mergeCell ref="U3:W3"/>
    <mergeCell ref="X3:Z3"/>
    <mergeCell ref="AA3:AC3"/>
    <mergeCell ref="AD3:AF3"/>
    <mergeCell ref="O3:Q3"/>
    <mergeCell ref="R18:AF18"/>
    <mergeCell ref="A19:A24"/>
    <mergeCell ref="C19:E19"/>
    <mergeCell ref="F19:H19"/>
    <mergeCell ref="I19:K19"/>
    <mergeCell ref="L19:N19"/>
    <mergeCell ref="O19:Q19"/>
    <mergeCell ref="O11:Q11"/>
    <mergeCell ref="R11:T11"/>
    <mergeCell ref="U11:W11"/>
    <mergeCell ref="X11:Z11"/>
    <mergeCell ref="R19:T19"/>
    <mergeCell ref="U19:W19"/>
    <mergeCell ref="X19:Z19"/>
    <mergeCell ref="A11:A16"/>
    <mergeCell ref="C11:E11"/>
    <mergeCell ref="F11:H11"/>
    <mergeCell ref="I11:K11"/>
    <mergeCell ref="L11:N11"/>
    <mergeCell ref="A3:A8"/>
    <mergeCell ref="C3:E3"/>
    <mergeCell ref="F3:H3"/>
    <mergeCell ref="I3:K3"/>
    <mergeCell ref="L3:N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8771-F9DE-4AA6-8DF5-8EC81486B906}">
  <dimension ref="A1:AE29"/>
  <sheetViews>
    <sheetView workbookViewId="0">
      <selection activeCell="A3" sqref="A3"/>
    </sheetView>
  </sheetViews>
  <sheetFormatPr defaultRowHeight="14.5" x14ac:dyDescent="0.35"/>
  <cols>
    <col min="1" max="1" width="13.1796875" customWidth="1"/>
  </cols>
  <sheetData>
    <row r="1" spans="1:31" x14ac:dyDescent="0.35">
      <c r="A1" t="s">
        <v>41</v>
      </c>
    </row>
    <row r="2" spans="1:31" ht="15" thickBot="1" x14ac:dyDescent="0.4">
      <c r="A2" t="s">
        <v>42</v>
      </c>
    </row>
    <row r="3" spans="1:31" ht="15" thickBot="1" x14ac:dyDescent="0.4">
      <c r="A3" s="1"/>
      <c r="B3" s="49" t="s">
        <v>19</v>
      </c>
      <c r="C3" s="50"/>
      <c r="D3" s="50"/>
      <c r="E3" s="50"/>
      <c r="F3" s="50"/>
      <c r="G3" s="50"/>
      <c r="H3" s="50"/>
      <c r="I3" s="50"/>
      <c r="J3" s="50"/>
      <c r="K3" s="50"/>
      <c r="L3" s="50"/>
      <c r="M3" s="50"/>
      <c r="N3" s="50"/>
      <c r="O3" s="50"/>
      <c r="P3" s="51"/>
      <c r="Q3" s="52" t="s">
        <v>17</v>
      </c>
      <c r="R3" s="53"/>
      <c r="S3" s="53"/>
      <c r="T3" s="53"/>
      <c r="U3" s="53"/>
      <c r="V3" s="53"/>
      <c r="W3" s="53"/>
      <c r="X3" s="53"/>
      <c r="Y3" s="53"/>
      <c r="Z3" s="53"/>
      <c r="AA3" s="53"/>
      <c r="AB3" s="53"/>
      <c r="AC3" s="53"/>
      <c r="AD3" s="53"/>
      <c r="AE3" s="54"/>
    </row>
    <row r="4" spans="1:31" ht="15" thickBot="1" x14ac:dyDescent="0.4">
      <c r="A4" s="35" t="s">
        <v>37</v>
      </c>
      <c r="B4" s="46" t="s">
        <v>5</v>
      </c>
      <c r="C4" s="47"/>
      <c r="D4" s="48"/>
      <c r="E4" s="46" t="s">
        <v>6</v>
      </c>
      <c r="F4" s="47"/>
      <c r="G4" s="48"/>
      <c r="H4" s="46" t="s">
        <v>7</v>
      </c>
      <c r="I4" s="47"/>
      <c r="J4" s="48"/>
      <c r="K4" s="46" t="s">
        <v>8</v>
      </c>
      <c r="L4" s="47"/>
      <c r="M4" s="48"/>
      <c r="N4" s="46" t="s">
        <v>9</v>
      </c>
      <c r="O4" s="47"/>
      <c r="P4" s="48"/>
      <c r="Q4" s="46" t="s">
        <v>10</v>
      </c>
      <c r="R4" s="47"/>
      <c r="S4" s="48"/>
      <c r="T4" s="46" t="s">
        <v>11</v>
      </c>
      <c r="U4" s="47"/>
      <c r="V4" s="48"/>
      <c r="W4" s="46" t="s">
        <v>12</v>
      </c>
      <c r="X4" s="47"/>
      <c r="Y4" s="48"/>
      <c r="Z4" s="46" t="s">
        <v>13</v>
      </c>
      <c r="AA4" s="47"/>
      <c r="AB4" s="48"/>
      <c r="AC4" s="46" t="s">
        <v>14</v>
      </c>
      <c r="AD4" s="47"/>
      <c r="AE4" s="48"/>
    </row>
    <row r="5" spans="1:31" x14ac:dyDescent="0.35">
      <c r="A5" s="29" t="s">
        <v>16</v>
      </c>
      <c r="B5" s="36">
        <f>19.2/2</f>
        <v>9.6</v>
      </c>
      <c r="C5" s="26">
        <f t="shared" ref="C5:AE8" si="0">19.2/2</f>
        <v>9.6</v>
      </c>
      <c r="D5" s="26">
        <f t="shared" si="0"/>
        <v>9.6</v>
      </c>
      <c r="E5" s="26">
        <f t="shared" si="0"/>
        <v>9.6</v>
      </c>
      <c r="F5" s="26">
        <f t="shared" si="0"/>
        <v>9.6</v>
      </c>
      <c r="G5" s="26">
        <f t="shared" si="0"/>
        <v>9.6</v>
      </c>
      <c r="H5" s="26">
        <f t="shared" si="0"/>
        <v>9.6</v>
      </c>
      <c r="I5" s="26">
        <f t="shared" si="0"/>
        <v>9.6</v>
      </c>
      <c r="J5" s="26">
        <f t="shared" si="0"/>
        <v>9.6</v>
      </c>
      <c r="K5" s="26">
        <f t="shared" si="0"/>
        <v>9.6</v>
      </c>
      <c r="L5" s="26">
        <f t="shared" si="0"/>
        <v>9.6</v>
      </c>
      <c r="M5" s="26">
        <f t="shared" si="0"/>
        <v>9.6</v>
      </c>
      <c r="N5" s="26">
        <f t="shared" si="0"/>
        <v>9.6</v>
      </c>
      <c r="O5" s="26">
        <f t="shared" si="0"/>
        <v>9.6</v>
      </c>
      <c r="P5" s="26">
        <f t="shared" si="0"/>
        <v>9.6</v>
      </c>
      <c r="Q5" s="26">
        <f t="shared" si="0"/>
        <v>9.6</v>
      </c>
      <c r="R5" s="26">
        <f t="shared" si="0"/>
        <v>9.6</v>
      </c>
      <c r="S5" s="26">
        <f t="shared" si="0"/>
        <v>9.6</v>
      </c>
      <c r="T5" s="26">
        <f t="shared" si="0"/>
        <v>9.6</v>
      </c>
      <c r="U5" s="26">
        <f t="shared" si="0"/>
        <v>9.6</v>
      </c>
      <c r="V5" s="26">
        <f t="shared" si="0"/>
        <v>9.6</v>
      </c>
      <c r="W5" s="26">
        <f t="shared" si="0"/>
        <v>9.6</v>
      </c>
      <c r="X5" s="26">
        <f t="shared" si="0"/>
        <v>9.6</v>
      </c>
      <c r="Y5" s="26">
        <f t="shared" si="0"/>
        <v>9.6</v>
      </c>
      <c r="Z5" s="26">
        <f t="shared" si="0"/>
        <v>9.6</v>
      </c>
      <c r="AA5" s="26">
        <f t="shared" si="0"/>
        <v>9.6</v>
      </c>
      <c r="AB5" s="26">
        <f t="shared" si="0"/>
        <v>9.6</v>
      </c>
      <c r="AC5" s="26">
        <f t="shared" si="0"/>
        <v>9.6</v>
      </c>
      <c r="AD5" s="26">
        <f t="shared" si="0"/>
        <v>9.6</v>
      </c>
      <c r="AE5" s="27">
        <f t="shared" si="0"/>
        <v>9.6</v>
      </c>
    </row>
    <row r="6" spans="1:31" x14ac:dyDescent="0.35">
      <c r="A6" s="34" t="s">
        <v>27</v>
      </c>
      <c r="B6" s="31">
        <f t="shared" ref="B6:B8" si="1">19.2/2</f>
        <v>9.6</v>
      </c>
      <c r="C6" s="2">
        <f t="shared" si="0"/>
        <v>9.6</v>
      </c>
      <c r="D6" s="2">
        <f t="shared" si="0"/>
        <v>9.6</v>
      </c>
      <c r="E6" s="2">
        <f t="shared" si="0"/>
        <v>9.6</v>
      </c>
      <c r="F6" s="2">
        <f t="shared" si="0"/>
        <v>9.6</v>
      </c>
      <c r="G6" s="2">
        <f t="shared" si="0"/>
        <v>9.6</v>
      </c>
      <c r="H6" s="2">
        <f t="shared" si="0"/>
        <v>9.6</v>
      </c>
      <c r="I6" s="2">
        <f t="shared" si="0"/>
        <v>9.6</v>
      </c>
      <c r="J6" s="2">
        <f t="shared" si="0"/>
        <v>9.6</v>
      </c>
      <c r="K6" s="2">
        <f t="shared" si="0"/>
        <v>9.6</v>
      </c>
      <c r="L6" s="2">
        <f t="shared" si="0"/>
        <v>9.6</v>
      </c>
      <c r="M6" s="2">
        <f t="shared" si="0"/>
        <v>9.6</v>
      </c>
      <c r="N6" s="2">
        <f t="shared" si="0"/>
        <v>9.6</v>
      </c>
      <c r="O6" s="2">
        <f t="shared" si="0"/>
        <v>9.6</v>
      </c>
      <c r="P6" s="2">
        <f t="shared" si="0"/>
        <v>9.6</v>
      </c>
      <c r="Q6" s="2">
        <f t="shared" si="0"/>
        <v>9.6</v>
      </c>
      <c r="R6" s="2">
        <f t="shared" si="0"/>
        <v>9.6</v>
      </c>
      <c r="S6" s="2">
        <f t="shared" si="0"/>
        <v>9.6</v>
      </c>
      <c r="T6" s="2">
        <f t="shared" si="0"/>
        <v>9.6</v>
      </c>
      <c r="U6" s="2">
        <f t="shared" si="0"/>
        <v>9.6</v>
      </c>
      <c r="V6" s="2">
        <f t="shared" si="0"/>
        <v>9.6</v>
      </c>
      <c r="W6" s="2">
        <f t="shared" si="0"/>
        <v>9.6</v>
      </c>
      <c r="X6" s="2">
        <f t="shared" si="0"/>
        <v>9.6</v>
      </c>
      <c r="Y6" s="2">
        <f t="shared" si="0"/>
        <v>9.6</v>
      </c>
      <c r="Z6" s="2">
        <f t="shared" si="0"/>
        <v>9.6</v>
      </c>
      <c r="AA6" s="2">
        <f t="shared" si="0"/>
        <v>9.6</v>
      </c>
      <c r="AB6" s="2">
        <f t="shared" si="0"/>
        <v>9.6</v>
      </c>
      <c r="AC6" s="2">
        <f t="shared" si="0"/>
        <v>9.6</v>
      </c>
      <c r="AD6" s="2">
        <f t="shared" si="0"/>
        <v>9.6</v>
      </c>
      <c r="AE6" s="3">
        <f t="shared" si="0"/>
        <v>9.6</v>
      </c>
    </row>
    <row r="7" spans="1:31" x14ac:dyDescent="0.35">
      <c r="A7" s="34" t="s">
        <v>36</v>
      </c>
      <c r="B7" s="31">
        <f t="shared" si="1"/>
        <v>9.6</v>
      </c>
      <c r="C7" s="2">
        <f t="shared" si="0"/>
        <v>9.6</v>
      </c>
      <c r="D7" s="2">
        <f t="shared" si="0"/>
        <v>9.6</v>
      </c>
      <c r="E7" s="2">
        <f t="shared" si="0"/>
        <v>9.6</v>
      </c>
      <c r="F7" s="2">
        <f t="shared" si="0"/>
        <v>9.6</v>
      </c>
      <c r="G7" s="2">
        <f t="shared" si="0"/>
        <v>9.6</v>
      </c>
      <c r="H7" s="2">
        <f t="shared" si="0"/>
        <v>9.6</v>
      </c>
      <c r="I7" s="2">
        <f t="shared" si="0"/>
        <v>9.6</v>
      </c>
      <c r="J7" s="2">
        <f t="shared" si="0"/>
        <v>9.6</v>
      </c>
      <c r="K7" s="2">
        <f t="shared" si="0"/>
        <v>9.6</v>
      </c>
      <c r="L7" s="2">
        <f t="shared" si="0"/>
        <v>9.6</v>
      </c>
      <c r="M7" s="2">
        <f t="shared" si="0"/>
        <v>9.6</v>
      </c>
      <c r="N7" s="2">
        <f t="shared" si="0"/>
        <v>9.6</v>
      </c>
      <c r="O7" s="2">
        <f t="shared" si="0"/>
        <v>9.6</v>
      </c>
      <c r="P7" s="2">
        <f t="shared" si="0"/>
        <v>9.6</v>
      </c>
      <c r="Q7" s="2">
        <f t="shared" si="0"/>
        <v>9.6</v>
      </c>
      <c r="R7" s="2">
        <f t="shared" si="0"/>
        <v>9.6</v>
      </c>
      <c r="S7" s="2">
        <f t="shared" si="0"/>
        <v>9.6</v>
      </c>
      <c r="T7" s="2">
        <f t="shared" si="0"/>
        <v>9.6</v>
      </c>
      <c r="U7" s="2">
        <f t="shared" si="0"/>
        <v>9.6</v>
      </c>
      <c r="V7" s="2">
        <f t="shared" si="0"/>
        <v>9.6</v>
      </c>
      <c r="W7" s="2">
        <f t="shared" si="0"/>
        <v>9.6</v>
      </c>
      <c r="X7" s="2">
        <f t="shared" si="0"/>
        <v>9.6</v>
      </c>
      <c r="Y7" s="2">
        <f t="shared" si="0"/>
        <v>9.6</v>
      </c>
      <c r="Z7" s="2">
        <f t="shared" si="0"/>
        <v>9.6</v>
      </c>
      <c r="AA7" s="2">
        <f t="shared" si="0"/>
        <v>9.6</v>
      </c>
      <c r="AB7" s="2">
        <f t="shared" si="0"/>
        <v>9.6</v>
      </c>
      <c r="AC7" s="2">
        <f t="shared" si="0"/>
        <v>9.6</v>
      </c>
      <c r="AD7" s="2">
        <f t="shared" si="0"/>
        <v>9.6</v>
      </c>
      <c r="AE7" s="3">
        <f t="shared" si="0"/>
        <v>9.6</v>
      </c>
    </row>
    <row r="8" spans="1:31" ht="15" thickBot="1" x14ac:dyDescent="0.4">
      <c r="A8" s="30" t="s">
        <v>28</v>
      </c>
      <c r="B8" s="33">
        <f t="shared" si="1"/>
        <v>9.6</v>
      </c>
      <c r="C8" s="4">
        <f t="shared" si="0"/>
        <v>9.6</v>
      </c>
      <c r="D8" s="4">
        <f t="shared" si="0"/>
        <v>9.6</v>
      </c>
      <c r="E8" s="4">
        <f t="shared" si="0"/>
        <v>9.6</v>
      </c>
      <c r="F8" s="4">
        <f t="shared" si="0"/>
        <v>9.6</v>
      </c>
      <c r="G8" s="4">
        <f t="shared" si="0"/>
        <v>9.6</v>
      </c>
      <c r="H8" s="4">
        <f t="shared" si="0"/>
        <v>9.6</v>
      </c>
      <c r="I8" s="4">
        <f t="shared" si="0"/>
        <v>9.6</v>
      </c>
      <c r="J8" s="4">
        <f t="shared" si="0"/>
        <v>9.6</v>
      </c>
      <c r="K8" s="4">
        <f t="shared" si="0"/>
        <v>9.6</v>
      </c>
      <c r="L8" s="4">
        <f t="shared" si="0"/>
        <v>9.6</v>
      </c>
      <c r="M8" s="4">
        <f t="shared" si="0"/>
        <v>9.6</v>
      </c>
      <c r="N8" s="4">
        <f t="shared" si="0"/>
        <v>9.6</v>
      </c>
      <c r="O8" s="4">
        <f t="shared" si="0"/>
        <v>9.6</v>
      </c>
      <c r="P8" s="4">
        <f t="shared" si="0"/>
        <v>9.6</v>
      </c>
      <c r="Q8" s="4">
        <f t="shared" si="0"/>
        <v>9.6</v>
      </c>
      <c r="R8" s="4">
        <f t="shared" si="0"/>
        <v>9.6</v>
      </c>
      <c r="S8" s="4">
        <f t="shared" si="0"/>
        <v>9.6</v>
      </c>
      <c r="T8" s="4">
        <f t="shared" si="0"/>
        <v>9.6</v>
      </c>
      <c r="U8" s="4">
        <f t="shared" si="0"/>
        <v>9.6</v>
      </c>
      <c r="V8" s="4">
        <f t="shared" si="0"/>
        <v>9.6</v>
      </c>
      <c r="W8" s="4">
        <f t="shared" si="0"/>
        <v>9.6</v>
      </c>
      <c r="X8" s="4">
        <f t="shared" si="0"/>
        <v>9.6</v>
      </c>
      <c r="Y8" s="4">
        <f t="shared" si="0"/>
        <v>9.6</v>
      </c>
      <c r="Z8" s="4">
        <f t="shared" si="0"/>
        <v>9.6</v>
      </c>
      <c r="AA8" s="4">
        <f t="shared" si="0"/>
        <v>9.6</v>
      </c>
      <c r="AB8" s="4">
        <f t="shared" si="0"/>
        <v>9.6</v>
      </c>
      <c r="AC8" s="4">
        <f t="shared" si="0"/>
        <v>9.6</v>
      </c>
      <c r="AD8" s="4">
        <f t="shared" si="0"/>
        <v>9.6</v>
      </c>
      <c r="AE8" s="5">
        <f t="shared" si="0"/>
        <v>9.6</v>
      </c>
    </row>
    <row r="9" spans="1:31" ht="15" thickBot="1" x14ac:dyDescent="0.4"/>
    <row r="10" spans="1:31" ht="15" thickBot="1" x14ac:dyDescent="0.4">
      <c r="A10" s="1"/>
      <c r="B10" s="49" t="s">
        <v>19</v>
      </c>
      <c r="C10" s="50"/>
      <c r="D10" s="50"/>
      <c r="E10" s="50"/>
      <c r="F10" s="50"/>
      <c r="G10" s="50"/>
      <c r="H10" s="50"/>
      <c r="I10" s="50"/>
      <c r="J10" s="50"/>
      <c r="K10" s="50"/>
      <c r="L10" s="50"/>
      <c r="M10" s="50"/>
      <c r="N10" s="50"/>
      <c r="O10" s="50"/>
      <c r="P10" s="51"/>
      <c r="Q10" s="52" t="s">
        <v>17</v>
      </c>
      <c r="R10" s="53"/>
      <c r="S10" s="53"/>
      <c r="T10" s="53"/>
      <c r="U10" s="53"/>
      <c r="V10" s="53"/>
      <c r="W10" s="53"/>
      <c r="X10" s="53"/>
      <c r="Y10" s="53"/>
      <c r="Z10" s="53"/>
      <c r="AA10" s="53"/>
      <c r="AB10" s="53"/>
      <c r="AC10" s="53"/>
      <c r="AD10" s="53"/>
      <c r="AE10" s="54"/>
    </row>
    <row r="11" spans="1:31" ht="15" thickBot="1" x14ac:dyDescent="0.4">
      <c r="A11" s="35" t="s">
        <v>38</v>
      </c>
      <c r="B11" s="46" t="s">
        <v>5</v>
      </c>
      <c r="C11" s="47"/>
      <c r="D11" s="48"/>
      <c r="E11" s="46" t="s">
        <v>6</v>
      </c>
      <c r="F11" s="47"/>
      <c r="G11" s="48"/>
      <c r="H11" s="46" t="s">
        <v>7</v>
      </c>
      <c r="I11" s="47"/>
      <c r="J11" s="48"/>
      <c r="K11" s="46" t="s">
        <v>8</v>
      </c>
      <c r="L11" s="47"/>
      <c r="M11" s="48"/>
      <c r="N11" s="46" t="s">
        <v>9</v>
      </c>
      <c r="O11" s="47"/>
      <c r="P11" s="48"/>
      <c r="Q11" s="46" t="s">
        <v>10</v>
      </c>
      <c r="R11" s="47"/>
      <c r="S11" s="48"/>
      <c r="T11" s="46" t="s">
        <v>11</v>
      </c>
      <c r="U11" s="47"/>
      <c r="V11" s="48"/>
      <c r="W11" s="46" t="s">
        <v>12</v>
      </c>
      <c r="X11" s="47"/>
      <c r="Y11" s="48"/>
      <c r="Z11" s="46" t="s">
        <v>13</v>
      </c>
      <c r="AA11" s="47"/>
      <c r="AB11" s="48"/>
      <c r="AC11" s="46" t="s">
        <v>14</v>
      </c>
      <c r="AD11" s="47"/>
      <c r="AE11" s="48"/>
    </row>
    <row r="12" spans="1:31" x14ac:dyDescent="0.35">
      <c r="A12" s="29" t="s">
        <v>16</v>
      </c>
      <c r="B12" s="36">
        <f t="shared" ref="B12:AE15" si="2">19.2/2</f>
        <v>9.6</v>
      </c>
      <c r="C12" s="26">
        <f t="shared" si="2"/>
        <v>9.6</v>
      </c>
      <c r="D12" s="26">
        <f t="shared" si="2"/>
        <v>9.6</v>
      </c>
      <c r="E12" s="26">
        <f t="shared" si="2"/>
        <v>9.6</v>
      </c>
      <c r="F12" s="26">
        <f t="shared" si="2"/>
        <v>9.6</v>
      </c>
      <c r="G12" s="26">
        <f t="shared" si="2"/>
        <v>9.6</v>
      </c>
      <c r="H12" s="26">
        <f t="shared" si="2"/>
        <v>9.6</v>
      </c>
      <c r="I12" s="26">
        <f t="shared" si="2"/>
        <v>9.6</v>
      </c>
      <c r="J12" s="26">
        <f t="shared" si="2"/>
        <v>9.6</v>
      </c>
      <c r="K12" s="26">
        <f t="shared" si="2"/>
        <v>9.6</v>
      </c>
      <c r="L12" s="26">
        <f t="shared" si="2"/>
        <v>9.6</v>
      </c>
      <c r="M12" s="26">
        <f t="shared" si="2"/>
        <v>9.6</v>
      </c>
      <c r="N12" s="26">
        <f t="shared" si="2"/>
        <v>9.6</v>
      </c>
      <c r="O12" s="26">
        <f t="shared" si="2"/>
        <v>9.6</v>
      </c>
      <c r="P12" s="26">
        <f t="shared" si="2"/>
        <v>9.6</v>
      </c>
      <c r="Q12" s="26">
        <f t="shared" si="2"/>
        <v>9.6</v>
      </c>
      <c r="R12" s="26">
        <f t="shared" si="2"/>
        <v>9.6</v>
      </c>
      <c r="S12" s="26">
        <f t="shared" si="2"/>
        <v>9.6</v>
      </c>
      <c r="T12" s="26">
        <f t="shared" si="2"/>
        <v>9.6</v>
      </c>
      <c r="U12" s="26">
        <f t="shared" si="2"/>
        <v>9.6</v>
      </c>
      <c r="V12" s="26">
        <f t="shared" si="2"/>
        <v>9.6</v>
      </c>
      <c r="W12" s="26">
        <f t="shared" si="2"/>
        <v>9.6</v>
      </c>
      <c r="X12" s="26">
        <f t="shared" si="2"/>
        <v>9.6</v>
      </c>
      <c r="Y12" s="26">
        <f t="shared" si="2"/>
        <v>9.6</v>
      </c>
      <c r="Z12" s="26">
        <f t="shared" si="2"/>
        <v>9.6</v>
      </c>
      <c r="AA12" s="26">
        <f t="shared" si="2"/>
        <v>9.6</v>
      </c>
      <c r="AB12" s="26">
        <f t="shared" si="2"/>
        <v>9.6</v>
      </c>
      <c r="AC12" s="26">
        <f t="shared" si="2"/>
        <v>9.6</v>
      </c>
      <c r="AD12" s="26">
        <f t="shared" si="2"/>
        <v>9.6</v>
      </c>
      <c r="AE12" s="27">
        <f t="shared" si="2"/>
        <v>9.6</v>
      </c>
    </row>
    <row r="13" spans="1:31" x14ac:dyDescent="0.35">
      <c r="A13" s="34" t="s">
        <v>27</v>
      </c>
      <c r="B13" s="31">
        <f t="shared" si="2"/>
        <v>9.6</v>
      </c>
      <c r="C13" s="2">
        <f t="shared" si="2"/>
        <v>9.6</v>
      </c>
      <c r="D13" s="2">
        <f t="shared" si="2"/>
        <v>9.6</v>
      </c>
      <c r="E13" s="2">
        <f t="shared" si="2"/>
        <v>9.6</v>
      </c>
      <c r="F13" s="2">
        <f t="shared" si="2"/>
        <v>9.6</v>
      </c>
      <c r="G13" s="2">
        <f t="shared" si="2"/>
        <v>9.6</v>
      </c>
      <c r="H13" s="2">
        <f t="shared" si="2"/>
        <v>9.6</v>
      </c>
      <c r="I13" s="2">
        <f t="shared" si="2"/>
        <v>9.6</v>
      </c>
      <c r="J13" s="2">
        <f t="shared" si="2"/>
        <v>9.6</v>
      </c>
      <c r="K13" s="2">
        <v>23.73</v>
      </c>
      <c r="L13" s="2">
        <v>21.59</v>
      </c>
      <c r="M13" s="2">
        <f>19.2/2</f>
        <v>9.6</v>
      </c>
      <c r="N13" s="2">
        <v>20.18</v>
      </c>
      <c r="O13" s="2">
        <f t="shared" si="2"/>
        <v>9.6</v>
      </c>
      <c r="P13" s="2">
        <f t="shared" si="2"/>
        <v>9.6</v>
      </c>
      <c r="Q13" s="2">
        <f t="shared" si="2"/>
        <v>9.6</v>
      </c>
      <c r="R13" s="2">
        <f t="shared" si="2"/>
        <v>9.6</v>
      </c>
      <c r="S13" s="2">
        <f t="shared" si="2"/>
        <v>9.6</v>
      </c>
      <c r="T13" s="2">
        <f t="shared" si="2"/>
        <v>9.6</v>
      </c>
      <c r="U13" s="2">
        <f t="shared" si="2"/>
        <v>9.6</v>
      </c>
      <c r="V13" s="2">
        <f t="shared" si="2"/>
        <v>9.6</v>
      </c>
      <c r="W13" s="2">
        <f t="shared" si="2"/>
        <v>9.6</v>
      </c>
      <c r="X13" s="2">
        <f t="shared" si="2"/>
        <v>9.6</v>
      </c>
      <c r="Y13" s="2">
        <f t="shared" si="2"/>
        <v>9.6</v>
      </c>
      <c r="Z13" s="2">
        <f t="shared" si="2"/>
        <v>9.6</v>
      </c>
      <c r="AA13" s="2">
        <f t="shared" si="2"/>
        <v>9.6</v>
      </c>
      <c r="AB13" s="2">
        <f t="shared" si="2"/>
        <v>9.6</v>
      </c>
      <c r="AC13" s="2">
        <f t="shared" si="2"/>
        <v>9.6</v>
      </c>
      <c r="AD13" s="2">
        <f t="shared" si="2"/>
        <v>9.6</v>
      </c>
      <c r="AE13" s="3">
        <f t="shared" si="2"/>
        <v>9.6</v>
      </c>
    </row>
    <row r="14" spans="1:31" x14ac:dyDescent="0.35">
      <c r="A14" s="34" t="s">
        <v>36</v>
      </c>
      <c r="B14" s="31">
        <f t="shared" si="2"/>
        <v>9.6</v>
      </c>
      <c r="C14" s="2">
        <f t="shared" si="2"/>
        <v>9.6</v>
      </c>
      <c r="D14" s="2">
        <f t="shared" si="2"/>
        <v>9.6</v>
      </c>
      <c r="E14" s="2">
        <f t="shared" si="2"/>
        <v>9.6</v>
      </c>
      <c r="F14" s="2">
        <f t="shared" si="2"/>
        <v>9.6</v>
      </c>
      <c r="G14" s="2">
        <f t="shared" si="2"/>
        <v>9.6</v>
      </c>
      <c r="H14" s="2">
        <f t="shared" si="2"/>
        <v>9.6</v>
      </c>
      <c r="I14" s="2">
        <f t="shared" si="2"/>
        <v>9.6</v>
      </c>
      <c r="J14" s="2">
        <f t="shared" si="2"/>
        <v>9.6</v>
      </c>
      <c r="K14" s="2">
        <f t="shared" si="2"/>
        <v>9.6</v>
      </c>
      <c r="L14" s="2">
        <f t="shared" si="2"/>
        <v>9.6</v>
      </c>
      <c r="M14" s="2">
        <f t="shared" si="2"/>
        <v>9.6</v>
      </c>
      <c r="N14" s="2">
        <f t="shared" si="2"/>
        <v>9.6</v>
      </c>
      <c r="O14" s="2">
        <f t="shared" si="2"/>
        <v>9.6</v>
      </c>
      <c r="P14" s="2">
        <f t="shared" si="2"/>
        <v>9.6</v>
      </c>
      <c r="Q14" s="2">
        <f t="shared" si="2"/>
        <v>9.6</v>
      </c>
      <c r="R14" s="2">
        <f t="shared" si="2"/>
        <v>9.6</v>
      </c>
      <c r="S14" s="2">
        <f t="shared" si="2"/>
        <v>9.6</v>
      </c>
      <c r="T14" s="2">
        <f t="shared" si="2"/>
        <v>9.6</v>
      </c>
      <c r="U14" s="2">
        <f t="shared" si="2"/>
        <v>9.6</v>
      </c>
      <c r="V14" s="2">
        <f t="shared" si="2"/>
        <v>9.6</v>
      </c>
      <c r="W14" s="2">
        <f t="shared" si="2"/>
        <v>9.6</v>
      </c>
      <c r="X14" s="2">
        <f t="shared" si="2"/>
        <v>9.6</v>
      </c>
      <c r="Y14" s="2">
        <f t="shared" si="2"/>
        <v>9.6</v>
      </c>
      <c r="Z14" s="2">
        <f t="shared" si="2"/>
        <v>9.6</v>
      </c>
      <c r="AA14" s="2">
        <f t="shared" si="2"/>
        <v>9.6</v>
      </c>
      <c r="AB14" s="2">
        <f t="shared" si="2"/>
        <v>9.6</v>
      </c>
      <c r="AC14" s="2">
        <f t="shared" si="2"/>
        <v>9.6</v>
      </c>
      <c r="AD14" s="2">
        <f t="shared" si="2"/>
        <v>9.6</v>
      </c>
      <c r="AE14" s="3">
        <f t="shared" si="2"/>
        <v>9.6</v>
      </c>
    </row>
    <row r="15" spans="1:31" ht="15" thickBot="1" x14ac:dyDescent="0.4">
      <c r="A15" s="30" t="s">
        <v>28</v>
      </c>
      <c r="B15" s="33">
        <f t="shared" si="2"/>
        <v>9.6</v>
      </c>
      <c r="C15" s="4">
        <f t="shared" si="2"/>
        <v>9.6</v>
      </c>
      <c r="D15" s="4">
        <f t="shared" si="2"/>
        <v>9.6</v>
      </c>
      <c r="E15" s="4">
        <f t="shared" si="2"/>
        <v>9.6</v>
      </c>
      <c r="F15" s="4">
        <f t="shared" si="2"/>
        <v>9.6</v>
      </c>
      <c r="G15" s="4">
        <f t="shared" si="2"/>
        <v>9.6</v>
      </c>
      <c r="H15" s="4">
        <f t="shared" si="2"/>
        <v>9.6</v>
      </c>
      <c r="I15" s="4">
        <f t="shared" si="2"/>
        <v>9.6</v>
      </c>
      <c r="J15" s="4">
        <f t="shared" si="2"/>
        <v>9.6</v>
      </c>
      <c r="K15" s="4">
        <v>22.01</v>
      </c>
      <c r="L15" s="4">
        <f t="shared" si="2"/>
        <v>9.6</v>
      </c>
      <c r="M15" s="4">
        <f t="shared" si="2"/>
        <v>9.6</v>
      </c>
      <c r="N15" s="4">
        <f t="shared" si="2"/>
        <v>9.6</v>
      </c>
      <c r="O15" s="4">
        <f t="shared" si="2"/>
        <v>9.6</v>
      </c>
      <c r="P15" s="4">
        <f t="shared" si="2"/>
        <v>9.6</v>
      </c>
      <c r="Q15" s="4">
        <f t="shared" si="2"/>
        <v>9.6</v>
      </c>
      <c r="R15" s="4">
        <f t="shared" si="2"/>
        <v>9.6</v>
      </c>
      <c r="S15" s="4">
        <f t="shared" si="2"/>
        <v>9.6</v>
      </c>
      <c r="T15" s="4">
        <f t="shared" si="2"/>
        <v>9.6</v>
      </c>
      <c r="U15" s="4">
        <f t="shared" si="2"/>
        <v>9.6</v>
      </c>
      <c r="V15" s="4">
        <f t="shared" si="2"/>
        <v>9.6</v>
      </c>
      <c r="W15" s="4">
        <f t="shared" si="2"/>
        <v>9.6</v>
      </c>
      <c r="X15" s="4">
        <f t="shared" si="2"/>
        <v>9.6</v>
      </c>
      <c r="Y15" s="4">
        <f t="shared" si="2"/>
        <v>9.6</v>
      </c>
      <c r="Z15" s="4">
        <f t="shared" si="2"/>
        <v>9.6</v>
      </c>
      <c r="AA15" s="4">
        <f t="shared" si="2"/>
        <v>9.6</v>
      </c>
      <c r="AB15" s="4">
        <f t="shared" si="2"/>
        <v>9.6</v>
      </c>
      <c r="AC15" s="4">
        <f t="shared" si="2"/>
        <v>9.6</v>
      </c>
      <c r="AD15" s="4">
        <f t="shared" si="2"/>
        <v>9.6</v>
      </c>
      <c r="AE15" s="5">
        <f t="shared" si="2"/>
        <v>9.6</v>
      </c>
    </row>
    <row r="16" spans="1:31" ht="15" thickBot="1" x14ac:dyDescent="0.4"/>
    <row r="17" spans="1:31" ht="15" thickBot="1" x14ac:dyDescent="0.4">
      <c r="A17" s="1"/>
      <c r="B17" s="49" t="s">
        <v>19</v>
      </c>
      <c r="C17" s="50"/>
      <c r="D17" s="50"/>
      <c r="E17" s="50"/>
      <c r="F17" s="50"/>
      <c r="G17" s="50"/>
      <c r="H17" s="50"/>
      <c r="I17" s="50"/>
      <c r="J17" s="50"/>
      <c r="K17" s="50"/>
      <c r="L17" s="50"/>
      <c r="M17" s="50"/>
      <c r="N17" s="50"/>
      <c r="O17" s="50"/>
      <c r="P17" s="51"/>
      <c r="Q17" s="52" t="s">
        <v>17</v>
      </c>
      <c r="R17" s="53"/>
      <c r="S17" s="53"/>
      <c r="T17" s="53"/>
      <c r="U17" s="53"/>
      <c r="V17" s="53"/>
      <c r="W17" s="53"/>
      <c r="X17" s="53"/>
      <c r="Y17" s="53"/>
      <c r="Z17" s="53"/>
      <c r="AA17" s="53"/>
      <c r="AB17" s="53"/>
      <c r="AC17" s="53"/>
      <c r="AD17" s="53"/>
      <c r="AE17" s="54"/>
    </row>
    <row r="18" spans="1:31" ht="15" thickBot="1" x14ac:dyDescent="0.4">
      <c r="A18" s="37" t="s">
        <v>39</v>
      </c>
      <c r="B18" s="46" t="s">
        <v>5</v>
      </c>
      <c r="C18" s="47"/>
      <c r="D18" s="48"/>
      <c r="E18" s="46" t="s">
        <v>6</v>
      </c>
      <c r="F18" s="47"/>
      <c r="G18" s="48"/>
      <c r="H18" s="46" t="s">
        <v>7</v>
      </c>
      <c r="I18" s="47"/>
      <c r="J18" s="48"/>
      <c r="K18" s="46" t="s">
        <v>8</v>
      </c>
      <c r="L18" s="47"/>
      <c r="M18" s="48"/>
      <c r="N18" s="46" t="s">
        <v>9</v>
      </c>
      <c r="O18" s="47"/>
      <c r="P18" s="48"/>
      <c r="Q18" s="46" t="s">
        <v>10</v>
      </c>
      <c r="R18" s="47"/>
      <c r="S18" s="48"/>
      <c r="T18" s="46" t="s">
        <v>11</v>
      </c>
      <c r="U18" s="47"/>
      <c r="V18" s="48"/>
      <c r="W18" s="46" t="s">
        <v>12</v>
      </c>
      <c r="X18" s="47"/>
      <c r="Y18" s="48"/>
      <c r="Z18" s="46" t="s">
        <v>13</v>
      </c>
      <c r="AA18" s="47"/>
      <c r="AB18" s="48"/>
      <c r="AC18" s="46" t="s">
        <v>14</v>
      </c>
      <c r="AD18" s="47"/>
      <c r="AE18" s="48"/>
    </row>
    <row r="19" spans="1:31" x14ac:dyDescent="0.35">
      <c r="A19" s="38" t="s">
        <v>16</v>
      </c>
      <c r="B19" s="25">
        <f>3.84/2</f>
        <v>1.92</v>
      </c>
      <c r="C19" s="26">
        <f t="shared" ref="C19:AE20" si="3">3.84/2</f>
        <v>1.92</v>
      </c>
      <c r="D19" s="26">
        <f t="shared" si="3"/>
        <v>1.92</v>
      </c>
      <c r="E19" s="26">
        <f t="shared" si="3"/>
        <v>1.92</v>
      </c>
      <c r="F19" s="26">
        <f t="shared" si="3"/>
        <v>1.92</v>
      </c>
      <c r="G19" s="26">
        <f t="shared" si="3"/>
        <v>1.92</v>
      </c>
      <c r="H19" s="26">
        <f t="shared" si="3"/>
        <v>1.92</v>
      </c>
      <c r="I19" s="26">
        <f t="shared" si="3"/>
        <v>1.92</v>
      </c>
      <c r="J19" s="26">
        <f t="shared" si="3"/>
        <v>1.92</v>
      </c>
      <c r="K19" s="26">
        <f t="shared" si="3"/>
        <v>1.92</v>
      </c>
      <c r="L19" s="26">
        <f t="shared" si="3"/>
        <v>1.92</v>
      </c>
      <c r="M19" s="26">
        <f t="shared" si="3"/>
        <v>1.92</v>
      </c>
      <c r="N19" s="26">
        <f t="shared" si="3"/>
        <v>1.92</v>
      </c>
      <c r="O19" s="26">
        <f t="shared" si="3"/>
        <v>1.92</v>
      </c>
      <c r="P19" s="26">
        <f t="shared" si="3"/>
        <v>1.92</v>
      </c>
      <c r="Q19" s="26">
        <f t="shared" si="3"/>
        <v>1.92</v>
      </c>
      <c r="R19" s="26">
        <f t="shared" si="3"/>
        <v>1.92</v>
      </c>
      <c r="S19" s="26">
        <f t="shared" si="3"/>
        <v>1.92</v>
      </c>
      <c r="T19" s="26">
        <f t="shared" si="3"/>
        <v>1.92</v>
      </c>
      <c r="U19" s="26">
        <f t="shared" si="3"/>
        <v>1.92</v>
      </c>
      <c r="V19" s="26">
        <f t="shared" si="3"/>
        <v>1.92</v>
      </c>
      <c r="W19" s="26">
        <f t="shared" si="3"/>
        <v>1.92</v>
      </c>
      <c r="X19" s="26">
        <f t="shared" si="3"/>
        <v>1.92</v>
      </c>
      <c r="Y19" s="26">
        <f t="shared" si="3"/>
        <v>1.92</v>
      </c>
      <c r="Z19" s="26">
        <f t="shared" si="3"/>
        <v>1.92</v>
      </c>
      <c r="AA19" s="26">
        <f t="shared" si="3"/>
        <v>1.92</v>
      </c>
      <c r="AB19" s="26">
        <f t="shared" si="3"/>
        <v>1.92</v>
      </c>
      <c r="AC19" s="26">
        <f t="shared" si="3"/>
        <v>1.92</v>
      </c>
      <c r="AD19" s="26">
        <f t="shared" si="3"/>
        <v>1.92</v>
      </c>
      <c r="AE19" s="27">
        <f t="shared" si="3"/>
        <v>1.92</v>
      </c>
    </row>
    <row r="20" spans="1:31" x14ac:dyDescent="0.35">
      <c r="A20" s="12" t="s">
        <v>27</v>
      </c>
      <c r="B20" s="6">
        <f t="shared" ref="B20" si="4">3.84/2</f>
        <v>1.92</v>
      </c>
      <c r="C20" s="2">
        <f t="shared" si="3"/>
        <v>1.92</v>
      </c>
      <c r="D20" s="2">
        <f t="shared" si="3"/>
        <v>1.92</v>
      </c>
      <c r="E20" s="2">
        <v>34.79</v>
      </c>
      <c r="F20" s="2">
        <v>22.12</v>
      </c>
      <c r="G20" s="2">
        <f t="shared" si="3"/>
        <v>1.92</v>
      </c>
      <c r="H20" s="2">
        <f t="shared" si="3"/>
        <v>1.92</v>
      </c>
      <c r="I20" s="2">
        <f t="shared" si="3"/>
        <v>1.92</v>
      </c>
      <c r="J20" s="2">
        <v>11.08</v>
      </c>
      <c r="K20" s="2">
        <v>7.87</v>
      </c>
      <c r="L20" s="2">
        <f t="shared" si="3"/>
        <v>1.92</v>
      </c>
      <c r="M20" s="2">
        <f t="shared" si="3"/>
        <v>1.92</v>
      </c>
      <c r="N20" s="2">
        <f t="shared" si="3"/>
        <v>1.92</v>
      </c>
      <c r="O20" s="2">
        <v>12.15</v>
      </c>
      <c r="P20" s="2">
        <v>8.26</v>
      </c>
      <c r="Q20" s="2">
        <f t="shared" si="3"/>
        <v>1.92</v>
      </c>
      <c r="R20" s="2">
        <f t="shared" si="3"/>
        <v>1.92</v>
      </c>
      <c r="S20" s="2">
        <v>9.01</v>
      </c>
      <c r="T20" s="2">
        <f t="shared" si="3"/>
        <v>1.92</v>
      </c>
      <c r="U20" s="2">
        <f t="shared" si="3"/>
        <v>1.92</v>
      </c>
      <c r="V20" s="2">
        <f t="shared" si="3"/>
        <v>1.92</v>
      </c>
      <c r="W20" s="2">
        <f t="shared" si="3"/>
        <v>1.92</v>
      </c>
      <c r="X20" s="2">
        <f t="shared" si="3"/>
        <v>1.92</v>
      </c>
      <c r="Y20" s="2">
        <f t="shared" si="3"/>
        <v>1.92</v>
      </c>
      <c r="Z20" s="2">
        <f t="shared" si="3"/>
        <v>1.92</v>
      </c>
      <c r="AA20" s="2">
        <f t="shared" si="3"/>
        <v>1.92</v>
      </c>
      <c r="AB20" s="2">
        <f t="shared" si="3"/>
        <v>1.92</v>
      </c>
      <c r="AC20" s="2">
        <f t="shared" si="3"/>
        <v>1.92</v>
      </c>
      <c r="AD20" s="2">
        <f t="shared" si="3"/>
        <v>1.92</v>
      </c>
      <c r="AE20" s="3">
        <f t="shared" si="3"/>
        <v>1.92</v>
      </c>
    </row>
    <row r="21" spans="1:31" x14ac:dyDescent="0.35">
      <c r="A21" s="12" t="s">
        <v>36</v>
      </c>
      <c r="B21" s="6">
        <f t="shared" ref="B21:AE22" si="5">3.84/2</f>
        <v>1.92</v>
      </c>
      <c r="C21" s="2">
        <f t="shared" si="5"/>
        <v>1.92</v>
      </c>
      <c r="D21" s="2">
        <f t="shared" si="5"/>
        <v>1.92</v>
      </c>
      <c r="E21" s="2">
        <f t="shared" si="5"/>
        <v>1.92</v>
      </c>
      <c r="F21" s="2">
        <f t="shared" si="5"/>
        <v>1.92</v>
      </c>
      <c r="G21" s="2">
        <f t="shared" si="5"/>
        <v>1.92</v>
      </c>
      <c r="H21" s="2">
        <f t="shared" si="5"/>
        <v>1.92</v>
      </c>
      <c r="I21" s="2">
        <f t="shared" si="5"/>
        <v>1.92</v>
      </c>
      <c r="J21" s="2">
        <f t="shared" si="5"/>
        <v>1.92</v>
      </c>
      <c r="K21" s="2">
        <f t="shared" si="5"/>
        <v>1.92</v>
      </c>
      <c r="L21" s="2">
        <f t="shared" si="5"/>
        <v>1.92</v>
      </c>
      <c r="M21" s="2">
        <f t="shared" si="5"/>
        <v>1.92</v>
      </c>
      <c r="N21" s="2">
        <f t="shared" si="5"/>
        <v>1.92</v>
      </c>
      <c r="O21" s="2">
        <f t="shared" si="5"/>
        <v>1.92</v>
      </c>
      <c r="P21" s="2">
        <f t="shared" si="5"/>
        <v>1.92</v>
      </c>
      <c r="Q21" s="2">
        <f t="shared" si="5"/>
        <v>1.92</v>
      </c>
      <c r="R21" s="2">
        <f t="shared" si="5"/>
        <v>1.92</v>
      </c>
      <c r="S21" s="2">
        <f t="shared" si="5"/>
        <v>1.92</v>
      </c>
      <c r="T21" s="2">
        <f t="shared" si="5"/>
        <v>1.92</v>
      </c>
      <c r="U21" s="2">
        <f t="shared" si="5"/>
        <v>1.92</v>
      </c>
      <c r="V21" s="2">
        <f t="shared" si="5"/>
        <v>1.92</v>
      </c>
      <c r="W21" s="2">
        <f t="shared" si="5"/>
        <v>1.92</v>
      </c>
      <c r="X21" s="2">
        <f t="shared" si="5"/>
        <v>1.92</v>
      </c>
      <c r="Y21" s="2">
        <f t="shared" si="5"/>
        <v>1.92</v>
      </c>
      <c r="Z21" s="2">
        <f t="shared" si="5"/>
        <v>1.92</v>
      </c>
      <c r="AA21" s="2">
        <f t="shared" si="5"/>
        <v>1.92</v>
      </c>
      <c r="AB21" s="2">
        <f t="shared" si="5"/>
        <v>1.92</v>
      </c>
      <c r="AC21" s="2">
        <f t="shared" si="5"/>
        <v>1.92</v>
      </c>
      <c r="AD21" s="2">
        <f t="shared" si="5"/>
        <v>1.92</v>
      </c>
      <c r="AE21" s="3">
        <f t="shared" si="5"/>
        <v>1.92</v>
      </c>
    </row>
    <row r="22" spans="1:31" ht="15" thickBot="1" x14ac:dyDescent="0.4">
      <c r="A22" s="39" t="s">
        <v>28</v>
      </c>
      <c r="B22" s="7">
        <f t="shared" si="5"/>
        <v>1.92</v>
      </c>
      <c r="C22" s="4">
        <f t="shared" si="5"/>
        <v>1.92</v>
      </c>
      <c r="D22" s="4">
        <f t="shared" si="5"/>
        <v>1.92</v>
      </c>
      <c r="E22" s="4">
        <v>21.31</v>
      </c>
      <c r="F22" s="4">
        <v>16.14</v>
      </c>
      <c r="G22" s="4">
        <f t="shared" si="5"/>
        <v>1.92</v>
      </c>
      <c r="H22" s="4">
        <f t="shared" si="5"/>
        <v>1.92</v>
      </c>
      <c r="I22" s="4">
        <f t="shared" si="5"/>
        <v>1.92</v>
      </c>
      <c r="J22" s="4">
        <v>8.77</v>
      </c>
      <c r="K22" s="4">
        <v>3.93</v>
      </c>
      <c r="L22" s="4">
        <f t="shared" si="5"/>
        <v>1.92</v>
      </c>
      <c r="M22" s="4">
        <f t="shared" si="5"/>
        <v>1.92</v>
      </c>
      <c r="N22" s="4">
        <f t="shared" si="5"/>
        <v>1.92</v>
      </c>
      <c r="O22" s="4">
        <v>8.0399999999999991</v>
      </c>
      <c r="P22" s="4">
        <v>6.15</v>
      </c>
      <c r="Q22" s="4">
        <f t="shared" si="5"/>
        <v>1.92</v>
      </c>
      <c r="R22" s="4">
        <f t="shared" si="5"/>
        <v>1.92</v>
      </c>
      <c r="S22" s="4">
        <v>6.57</v>
      </c>
      <c r="T22" s="4">
        <f t="shared" si="5"/>
        <v>1.92</v>
      </c>
      <c r="U22" s="4">
        <f t="shared" si="5"/>
        <v>1.92</v>
      </c>
      <c r="V22" s="4">
        <f t="shared" si="5"/>
        <v>1.92</v>
      </c>
      <c r="W22" s="4">
        <f t="shared" si="5"/>
        <v>1.92</v>
      </c>
      <c r="X22" s="4">
        <f t="shared" si="5"/>
        <v>1.92</v>
      </c>
      <c r="Y22" s="4">
        <f t="shared" si="5"/>
        <v>1.92</v>
      </c>
      <c r="Z22" s="4">
        <f t="shared" si="5"/>
        <v>1.92</v>
      </c>
      <c r="AA22" s="4">
        <f t="shared" si="5"/>
        <v>1.92</v>
      </c>
      <c r="AB22" s="4">
        <f t="shared" si="5"/>
        <v>1.92</v>
      </c>
      <c r="AC22" s="4">
        <f t="shared" si="5"/>
        <v>1.92</v>
      </c>
      <c r="AD22" s="4">
        <f t="shared" si="5"/>
        <v>1.92</v>
      </c>
      <c r="AE22" s="5">
        <f t="shared" si="5"/>
        <v>1.92</v>
      </c>
    </row>
    <row r="23" spans="1:31" ht="15" thickBot="1" x14ac:dyDescent="0.4"/>
    <row r="24" spans="1:31" ht="15" thickBot="1" x14ac:dyDescent="0.4">
      <c r="A24" s="1"/>
      <c r="B24" s="49" t="s">
        <v>19</v>
      </c>
      <c r="C24" s="50"/>
      <c r="D24" s="50"/>
      <c r="E24" s="50"/>
      <c r="F24" s="50"/>
      <c r="G24" s="50"/>
      <c r="H24" s="50"/>
      <c r="I24" s="50"/>
      <c r="J24" s="50"/>
      <c r="K24" s="50"/>
      <c r="L24" s="50"/>
      <c r="M24" s="50"/>
      <c r="N24" s="50"/>
      <c r="O24" s="50"/>
      <c r="P24" s="51"/>
      <c r="Q24" s="52" t="s">
        <v>17</v>
      </c>
      <c r="R24" s="53"/>
      <c r="S24" s="53"/>
      <c r="T24" s="53"/>
      <c r="U24" s="53"/>
      <c r="V24" s="53"/>
      <c r="W24" s="53"/>
      <c r="X24" s="53"/>
      <c r="Y24" s="53"/>
      <c r="Z24" s="53"/>
      <c r="AA24" s="53"/>
      <c r="AB24" s="53"/>
      <c r="AC24" s="53"/>
      <c r="AD24" s="53"/>
      <c r="AE24" s="54"/>
    </row>
    <row r="25" spans="1:31" ht="15" thickBot="1" x14ac:dyDescent="0.4">
      <c r="A25" s="37" t="s">
        <v>40</v>
      </c>
      <c r="B25" s="46" t="s">
        <v>5</v>
      </c>
      <c r="C25" s="47"/>
      <c r="D25" s="48"/>
      <c r="E25" s="46" t="s">
        <v>6</v>
      </c>
      <c r="F25" s="47"/>
      <c r="G25" s="48"/>
      <c r="H25" s="46" t="s">
        <v>7</v>
      </c>
      <c r="I25" s="47"/>
      <c r="J25" s="48"/>
      <c r="K25" s="46" t="s">
        <v>8</v>
      </c>
      <c r="L25" s="47"/>
      <c r="M25" s="48"/>
      <c r="N25" s="46" t="s">
        <v>9</v>
      </c>
      <c r="O25" s="47"/>
      <c r="P25" s="48"/>
      <c r="Q25" s="46" t="s">
        <v>10</v>
      </c>
      <c r="R25" s="47"/>
      <c r="S25" s="48"/>
      <c r="T25" s="46" t="s">
        <v>11</v>
      </c>
      <c r="U25" s="47"/>
      <c r="V25" s="48"/>
      <c r="W25" s="46" t="s">
        <v>12</v>
      </c>
      <c r="X25" s="47"/>
      <c r="Y25" s="48"/>
      <c r="Z25" s="46" t="s">
        <v>13</v>
      </c>
      <c r="AA25" s="47"/>
      <c r="AB25" s="48"/>
      <c r="AC25" s="46" t="s">
        <v>14</v>
      </c>
      <c r="AD25" s="47"/>
      <c r="AE25" s="48"/>
    </row>
    <row r="26" spans="1:31" x14ac:dyDescent="0.35">
      <c r="A26" s="38" t="s">
        <v>16</v>
      </c>
      <c r="B26" s="25">
        <f t="shared" ref="B26:AE26" si="6">3.84/2</f>
        <v>1.92</v>
      </c>
      <c r="C26" s="26">
        <f t="shared" si="6"/>
        <v>1.92</v>
      </c>
      <c r="D26" s="26">
        <f t="shared" si="6"/>
        <v>1.92</v>
      </c>
      <c r="E26" s="26">
        <f t="shared" si="6"/>
        <v>1.92</v>
      </c>
      <c r="F26" s="26">
        <f t="shared" si="6"/>
        <v>1.92</v>
      </c>
      <c r="G26" s="26">
        <f t="shared" si="6"/>
        <v>1.92</v>
      </c>
      <c r="H26" s="26">
        <f t="shared" si="6"/>
        <v>1.92</v>
      </c>
      <c r="I26" s="26">
        <f t="shared" si="6"/>
        <v>1.92</v>
      </c>
      <c r="J26" s="26">
        <f t="shared" si="6"/>
        <v>1.92</v>
      </c>
      <c r="K26" s="26">
        <f t="shared" si="6"/>
        <v>1.92</v>
      </c>
      <c r="L26" s="26">
        <f t="shared" si="6"/>
        <v>1.92</v>
      </c>
      <c r="M26" s="26">
        <f t="shared" si="6"/>
        <v>1.92</v>
      </c>
      <c r="N26" s="26">
        <f t="shared" si="6"/>
        <v>1.92</v>
      </c>
      <c r="O26" s="26">
        <f t="shared" si="6"/>
        <v>1.92</v>
      </c>
      <c r="P26" s="26">
        <f t="shared" si="6"/>
        <v>1.92</v>
      </c>
      <c r="Q26" s="26">
        <f t="shared" si="6"/>
        <v>1.92</v>
      </c>
      <c r="R26" s="26">
        <f t="shared" si="6"/>
        <v>1.92</v>
      </c>
      <c r="S26" s="26">
        <f t="shared" si="6"/>
        <v>1.92</v>
      </c>
      <c r="T26" s="26">
        <f t="shared" si="6"/>
        <v>1.92</v>
      </c>
      <c r="U26" s="26">
        <f t="shared" si="6"/>
        <v>1.92</v>
      </c>
      <c r="V26" s="26">
        <f t="shared" si="6"/>
        <v>1.92</v>
      </c>
      <c r="W26" s="26">
        <f t="shared" si="6"/>
        <v>1.92</v>
      </c>
      <c r="X26" s="26">
        <f t="shared" si="6"/>
        <v>1.92</v>
      </c>
      <c r="Y26" s="26">
        <f t="shared" si="6"/>
        <v>1.92</v>
      </c>
      <c r="Z26" s="26">
        <f t="shared" si="6"/>
        <v>1.92</v>
      </c>
      <c r="AA26" s="26">
        <f t="shared" si="6"/>
        <v>1.92</v>
      </c>
      <c r="AB26" s="26">
        <f t="shared" si="6"/>
        <v>1.92</v>
      </c>
      <c r="AC26" s="26">
        <f t="shared" si="6"/>
        <v>1.92</v>
      </c>
      <c r="AD26" s="26">
        <f t="shared" si="6"/>
        <v>1.92</v>
      </c>
      <c r="AE26" s="27">
        <f t="shared" si="6"/>
        <v>1.92</v>
      </c>
    </row>
    <row r="27" spans="1:31" x14ac:dyDescent="0.35">
      <c r="A27" s="12" t="s">
        <v>27</v>
      </c>
      <c r="B27" s="6">
        <v>153.31</v>
      </c>
      <c r="C27" s="2">
        <v>211.1</v>
      </c>
      <c r="D27" s="2">
        <v>190.16</v>
      </c>
      <c r="E27" s="2">
        <v>1240.96</v>
      </c>
      <c r="F27" s="2">
        <v>947.28</v>
      </c>
      <c r="G27" s="2">
        <v>64.290000000000006</v>
      </c>
      <c r="H27" s="2">
        <v>89.66</v>
      </c>
      <c r="I27" s="2">
        <v>95.27</v>
      </c>
      <c r="J27" s="2">
        <v>437.3</v>
      </c>
      <c r="K27" s="2">
        <v>455.16</v>
      </c>
      <c r="L27" s="2">
        <v>98.59</v>
      </c>
      <c r="M27" s="2">
        <v>160.29</v>
      </c>
      <c r="N27" s="2">
        <v>96.19</v>
      </c>
      <c r="O27" s="2">
        <v>644.83000000000004</v>
      </c>
      <c r="P27" s="2">
        <v>480.76</v>
      </c>
      <c r="Q27" s="2">
        <v>92.19</v>
      </c>
      <c r="R27" s="2">
        <v>176.9</v>
      </c>
      <c r="S27" s="2">
        <v>237.52</v>
      </c>
      <c r="T27" s="2">
        <v>138.4</v>
      </c>
      <c r="U27" s="2">
        <v>123.48</v>
      </c>
      <c r="V27" s="2">
        <v>28.44</v>
      </c>
      <c r="W27" s="2">
        <v>68.06</v>
      </c>
      <c r="X27" s="2">
        <v>96.36</v>
      </c>
      <c r="Y27" s="2">
        <v>44.16</v>
      </c>
      <c r="Z27" s="2">
        <v>58.1</v>
      </c>
      <c r="AA27" s="2">
        <v>20.079999999999998</v>
      </c>
      <c r="AB27" s="2">
        <v>55.8</v>
      </c>
      <c r="AC27" s="2">
        <v>105.77</v>
      </c>
      <c r="AD27" s="2">
        <v>67.569999999999993</v>
      </c>
      <c r="AE27" s="3">
        <v>56.36</v>
      </c>
    </row>
    <row r="28" spans="1:31" x14ac:dyDescent="0.35">
      <c r="A28" s="12" t="s">
        <v>36</v>
      </c>
      <c r="B28" s="6">
        <f t="shared" ref="B28:AE28" si="7">3.84/2</f>
        <v>1.92</v>
      </c>
      <c r="C28" s="2">
        <f t="shared" si="7"/>
        <v>1.92</v>
      </c>
      <c r="D28" s="2">
        <f t="shared" si="7"/>
        <v>1.92</v>
      </c>
      <c r="E28" s="2">
        <f t="shared" si="7"/>
        <v>1.92</v>
      </c>
      <c r="F28" s="2">
        <f t="shared" si="7"/>
        <v>1.92</v>
      </c>
      <c r="G28" s="2">
        <f t="shared" si="7"/>
        <v>1.92</v>
      </c>
      <c r="H28" s="2">
        <f t="shared" si="7"/>
        <v>1.92</v>
      </c>
      <c r="I28" s="2">
        <f t="shared" si="7"/>
        <v>1.92</v>
      </c>
      <c r="J28" s="2">
        <f t="shared" si="7"/>
        <v>1.92</v>
      </c>
      <c r="K28" s="2">
        <f t="shared" si="7"/>
        <v>1.92</v>
      </c>
      <c r="L28" s="2">
        <f t="shared" si="7"/>
        <v>1.92</v>
      </c>
      <c r="M28" s="2">
        <f t="shared" si="7"/>
        <v>1.92</v>
      </c>
      <c r="N28" s="2">
        <f t="shared" si="7"/>
        <v>1.92</v>
      </c>
      <c r="O28" s="2">
        <f t="shared" si="7"/>
        <v>1.92</v>
      </c>
      <c r="P28" s="2">
        <f t="shared" si="7"/>
        <v>1.92</v>
      </c>
      <c r="Q28" s="2">
        <f t="shared" si="7"/>
        <v>1.92</v>
      </c>
      <c r="R28" s="2">
        <f t="shared" si="7"/>
        <v>1.92</v>
      </c>
      <c r="S28" s="2">
        <f t="shared" si="7"/>
        <v>1.92</v>
      </c>
      <c r="T28" s="2">
        <f t="shared" si="7"/>
        <v>1.92</v>
      </c>
      <c r="U28" s="2">
        <f t="shared" si="7"/>
        <v>1.92</v>
      </c>
      <c r="V28" s="2">
        <f t="shared" si="7"/>
        <v>1.92</v>
      </c>
      <c r="W28" s="2">
        <f t="shared" si="7"/>
        <v>1.92</v>
      </c>
      <c r="X28" s="2">
        <f t="shared" si="7"/>
        <v>1.92</v>
      </c>
      <c r="Y28" s="2">
        <f t="shared" si="7"/>
        <v>1.92</v>
      </c>
      <c r="Z28" s="2">
        <f t="shared" si="7"/>
        <v>1.92</v>
      </c>
      <c r="AA28" s="2">
        <f t="shared" si="7"/>
        <v>1.92</v>
      </c>
      <c r="AB28" s="2">
        <f t="shared" si="7"/>
        <v>1.92</v>
      </c>
      <c r="AC28" s="2">
        <f t="shared" si="7"/>
        <v>1.92</v>
      </c>
      <c r="AD28" s="2">
        <f t="shared" si="7"/>
        <v>1.92</v>
      </c>
      <c r="AE28" s="3">
        <f t="shared" si="7"/>
        <v>1.92</v>
      </c>
    </row>
    <row r="29" spans="1:31" ht="15" thickBot="1" x14ac:dyDescent="0.4">
      <c r="A29" s="39" t="s">
        <v>28</v>
      </c>
      <c r="B29" s="7">
        <v>130.25</v>
      </c>
      <c r="C29" s="4">
        <v>168.42</v>
      </c>
      <c r="D29" s="4">
        <v>143.85</v>
      </c>
      <c r="E29" s="4">
        <v>1032.31</v>
      </c>
      <c r="F29" s="4">
        <v>871.2</v>
      </c>
      <c r="G29" s="4">
        <v>41.94</v>
      </c>
      <c r="H29" s="4">
        <v>97.2</v>
      </c>
      <c r="I29" s="4">
        <v>71.86</v>
      </c>
      <c r="J29" s="4">
        <v>404.58</v>
      </c>
      <c r="K29" s="4">
        <v>423.62</v>
      </c>
      <c r="L29" s="4">
        <v>48.2</v>
      </c>
      <c r="M29" s="4">
        <v>133.68</v>
      </c>
      <c r="N29" s="4">
        <v>42.69</v>
      </c>
      <c r="O29" s="4">
        <v>576.02</v>
      </c>
      <c r="P29" s="4">
        <v>425.52</v>
      </c>
      <c r="Q29" s="4">
        <v>34.69</v>
      </c>
      <c r="R29" s="4">
        <v>128.52000000000001</v>
      </c>
      <c r="S29" s="4">
        <v>317.43</v>
      </c>
      <c r="T29" s="4">
        <v>106.77</v>
      </c>
      <c r="U29" s="4">
        <v>119.45</v>
      </c>
      <c r="V29" s="4">
        <v>14.54</v>
      </c>
      <c r="W29" s="4">
        <v>59.22</v>
      </c>
      <c r="X29" s="4">
        <v>98.84</v>
      </c>
      <c r="Y29" s="4">
        <v>43.11</v>
      </c>
      <c r="Z29" s="4">
        <v>36.64</v>
      </c>
      <c r="AA29" s="4">
        <v>14.68</v>
      </c>
      <c r="AB29" s="4">
        <v>82.3</v>
      </c>
      <c r="AC29" s="4">
        <v>93.59</v>
      </c>
      <c r="AD29" s="4">
        <v>57.42</v>
      </c>
      <c r="AE29" s="5">
        <v>42.16</v>
      </c>
    </row>
  </sheetData>
  <mergeCells count="48">
    <mergeCell ref="B24:P24"/>
    <mergeCell ref="Q24:AE24"/>
    <mergeCell ref="B25:D25"/>
    <mergeCell ref="E25:G25"/>
    <mergeCell ref="H25:J25"/>
    <mergeCell ref="K25:M25"/>
    <mergeCell ref="N25:P25"/>
    <mergeCell ref="Q25:S25"/>
    <mergeCell ref="T25:V25"/>
    <mergeCell ref="W25:Y25"/>
    <mergeCell ref="Z25:AB25"/>
    <mergeCell ref="AC25:AE25"/>
    <mergeCell ref="B17:P17"/>
    <mergeCell ref="Q17:AE17"/>
    <mergeCell ref="B18:D18"/>
    <mergeCell ref="E18:G18"/>
    <mergeCell ref="H18:J18"/>
    <mergeCell ref="K18:M18"/>
    <mergeCell ref="N18:P18"/>
    <mergeCell ref="Q18:S18"/>
    <mergeCell ref="T18:V18"/>
    <mergeCell ref="W18:Y18"/>
    <mergeCell ref="Z18:AB18"/>
    <mergeCell ref="AC18:AE18"/>
    <mergeCell ref="B10:P10"/>
    <mergeCell ref="Q10:AE10"/>
    <mergeCell ref="B11:D11"/>
    <mergeCell ref="E11:G11"/>
    <mergeCell ref="H11:J11"/>
    <mergeCell ref="K11:M11"/>
    <mergeCell ref="N11:P11"/>
    <mergeCell ref="Q11:S11"/>
    <mergeCell ref="T11:V11"/>
    <mergeCell ref="W11:Y11"/>
    <mergeCell ref="Z11:AB11"/>
    <mergeCell ref="AC11:AE11"/>
    <mergeCell ref="Z4:AB4"/>
    <mergeCell ref="AC4:AE4"/>
    <mergeCell ref="B3:P3"/>
    <mergeCell ref="Q3:AE3"/>
    <mergeCell ref="B4:D4"/>
    <mergeCell ref="E4:G4"/>
    <mergeCell ref="H4:J4"/>
    <mergeCell ref="K4:M4"/>
    <mergeCell ref="N4:P4"/>
    <mergeCell ref="Q4:S4"/>
    <mergeCell ref="T4:V4"/>
    <mergeCell ref="W4:Y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Figure 4C</vt:lpstr>
      <vt:lpstr>Figure 4D</vt:lpstr>
      <vt:lpstr>Figure 6A</vt:lpstr>
      <vt:lpstr>Figure 6B</vt:lpstr>
      <vt:lpstr>Figure 6C</vt:lpstr>
      <vt:lpstr>Figure 7A</vt:lpstr>
      <vt:lpstr>Figure 7B</vt:lpstr>
      <vt:lpstr>Figure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Hayman</dc:creator>
  <cp:lastModifiedBy>Fong PhD, Youyi</cp:lastModifiedBy>
  <dcterms:created xsi:type="dcterms:W3CDTF">2025-09-17T18:08:58Z</dcterms:created>
  <dcterms:modified xsi:type="dcterms:W3CDTF">2025-11-14T23:14:10Z</dcterms:modified>
</cp:coreProperties>
</file>